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I:\Security Department\Research-Samples\"/>
    </mc:Choice>
  </mc:AlternateContent>
  <bookViews>
    <workbookView xWindow="0" yWindow="0" windowWidth="21600" windowHeight="11196" firstSheet="2" activeTab="4"/>
  </bookViews>
  <sheets>
    <sheet name="Risk Matrix" sheetId="1" r:id="rId1"/>
    <sheet name="DR &amp; Backup Matrix" sheetId="2" r:id="rId2"/>
    <sheet name="System and Application Matrix" sheetId="3" r:id="rId3"/>
    <sheet name="Application Matrix" sheetId="4" r:id="rId4"/>
    <sheet name="Process Matrix" sheetId="5" r:id="rId5"/>
    <sheet name="Process Ideas" sheetId="9" r:id="rId6"/>
    <sheet name="Questions for Interview" sheetId="10" r:id="rId7"/>
  </sheets>
  <definedNames>
    <definedName name="_xlnm._FilterDatabase" localSheetId="3" hidden="1">'Application Matrix'!$A$2:$BC$108</definedName>
    <definedName name="_xlnm._FilterDatabase" localSheetId="4" hidden="1">'Process Matrix'!$A$2:$AJ$70</definedName>
    <definedName name="_xlnm._FilterDatabase" localSheetId="2" hidden="1">'System and Application Matrix'!$A$2:$U$87</definedName>
    <definedName name="OLE_LINK1" localSheetId="1">'DR &amp; Backup Matrix'!#REF!</definedName>
    <definedName name="_xlnm.Print_Area" localSheetId="0">'Risk Matrix'!$A$1:$F$46</definedName>
    <definedName name="_xlnm.Print_Area" localSheetId="2">'System and Application Matrix'!$A$1:$T$87</definedName>
    <definedName name="_xlnm.Print_Titles" localSheetId="3">'Application Matrix'!$A:$D,'Application Matrix'!$2:$5</definedName>
    <definedName name="_xlnm.Print_Titles" localSheetId="4">'Process Matrix'!$A:$D,'Process Matrix'!$1:$2</definedName>
    <definedName name="_xlnm.Print_Titles" localSheetId="0">'Risk Matrix'!$10:$10</definedName>
    <definedName name="_xlnm.Print_Titles" localSheetId="2">'System and Application Matrix'!$2:$2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D2" i="4" l="1"/>
  <c r="CC2" i="4"/>
  <c r="CB2" i="4"/>
  <c r="CA2" i="4"/>
  <c r="BZ2" i="4"/>
  <c r="BY2" i="4"/>
  <c r="BX2" i="4"/>
  <c r="BW2" i="4"/>
  <c r="BV2" i="4"/>
  <c r="BU2" i="4"/>
  <c r="BT2" i="4"/>
  <c r="BS2" i="4"/>
  <c r="BR2" i="4"/>
  <c r="BQ2" i="4"/>
  <c r="BP2" i="4"/>
  <c r="BO2" i="4"/>
  <c r="BN2" i="4"/>
  <c r="BM2" i="4"/>
  <c r="BL2" i="4"/>
  <c r="BK2" i="4"/>
  <c r="BJ2" i="4"/>
  <c r="BI2" i="4"/>
  <c r="BH2" i="4"/>
  <c r="BG2" i="4"/>
  <c r="BF2" i="4"/>
  <c r="BE2" i="4"/>
  <c r="BD2" i="4"/>
  <c r="BC2" i="4"/>
  <c r="BB2" i="4"/>
  <c r="BA2" i="4"/>
  <c r="AZ2" i="4"/>
  <c r="AY2" i="4"/>
  <c r="AX2" i="4"/>
  <c r="AW2" i="4"/>
  <c r="AV2" i="4"/>
  <c r="AU2" i="4"/>
  <c r="AT2" i="4"/>
  <c r="AS2" i="4"/>
  <c r="AR2" i="4"/>
  <c r="AQ2" i="4"/>
  <c r="AP2" i="4"/>
  <c r="AO2" i="4"/>
  <c r="AN2" i="4"/>
  <c r="AM2" i="4"/>
  <c r="AL2" i="4"/>
  <c r="AK2" i="4"/>
  <c r="AJ2" i="4"/>
  <c r="AI2" i="4"/>
  <c r="AH2" i="4"/>
  <c r="AG2" i="4"/>
  <c r="AF2" i="4"/>
  <c r="AE2" i="4"/>
  <c r="AD2" i="4"/>
  <c r="AC2" i="4"/>
  <c r="AB2" i="4"/>
  <c r="AA2" i="4"/>
  <c r="Z2" i="4"/>
  <c r="Y2" i="4"/>
  <c r="X2" i="4"/>
  <c r="W2" i="4"/>
  <c r="V2" i="4"/>
  <c r="K2" i="4"/>
  <c r="J2" i="4"/>
  <c r="I2" i="4"/>
  <c r="H2" i="4"/>
  <c r="DL2" i="5" l="1"/>
  <c r="DK2" i="5"/>
  <c r="DJ2" i="5"/>
  <c r="DI2" i="5"/>
  <c r="DH2" i="5"/>
  <c r="DG2" i="5"/>
  <c r="DF2" i="5"/>
  <c r="DE2" i="5"/>
  <c r="DD2" i="5"/>
  <c r="DC2" i="5"/>
  <c r="DB2" i="5"/>
  <c r="DA2" i="5"/>
  <c r="CZ2" i="5"/>
  <c r="CY2" i="5"/>
  <c r="CX2" i="5"/>
  <c r="CW2" i="5"/>
  <c r="CV2" i="5"/>
  <c r="CU2" i="5"/>
  <c r="CT2" i="5"/>
  <c r="CS2" i="5"/>
  <c r="CR2" i="5"/>
  <c r="CQ2" i="5"/>
  <c r="CP2" i="5"/>
  <c r="CO2" i="5"/>
  <c r="CN2" i="5"/>
  <c r="CM2" i="5"/>
  <c r="CL2" i="5"/>
  <c r="CK2" i="5"/>
  <c r="CJ2" i="5"/>
  <c r="CI2" i="5"/>
  <c r="CH2" i="5"/>
  <c r="CG2" i="5"/>
  <c r="CF2" i="5"/>
  <c r="CB2" i="5"/>
  <c r="CA2" i="5"/>
  <c r="BZ2" i="5"/>
  <c r="BY2" i="5"/>
  <c r="BX2" i="5"/>
  <c r="BW2" i="5"/>
  <c r="BV2" i="5"/>
  <c r="BT2" i="5"/>
  <c r="BS2" i="5"/>
  <c r="BR2" i="5"/>
  <c r="BQ2" i="5"/>
  <c r="BP2" i="5"/>
  <c r="BO2" i="5"/>
  <c r="BN2" i="5"/>
  <c r="BM2" i="5"/>
  <c r="BL2" i="5"/>
  <c r="BK2" i="5"/>
  <c r="BJ2" i="5"/>
  <c r="BI2" i="5"/>
  <c r="BH2" i="5"/>
  <c r="AX2" i="5"/>
  <c r="AW2" i="5"/>
  <c r="AV2" i="5"/>
  <c r="AT2" i="5"/>
  <c r="AS2" i="5"/>
  <c r="E2" i="4"/>
  <c r="D97" i="4" l="1"/>
  <c r="D104" i="4"/>
  <c r="D102" i="4"/>
  <c r="D93" i="4"/>
  <c r="U2" i="4"/>
  <c r="T2" i="4"/>
  <c r="S2" i="4"/>
  <c r="R2" i="4"/>
  <c r="Q2" i="4"/>
  <c r="P2" i="4"/>
  <c r="O2" i="4"/>
  <c r="N2" i="4"/>
  <c r="M2" i="4"/>
  <c r="L2" i="4"/>
  <c r="G2" i="4"/>
  <c r="F2" i="4"/>
  <c r="C37" i="1" l="1"/>
  <c r="C11" i="1"/>
  <c r="DN2" i="5" l="1"/>
  <c r="DM2" i="5"/>
  <c r="CE2" i="5"/>
  <c r="CD2" i="5"/>
  <c r="CC2" i="5"/>
  <c r="BU2" i="5"/>
  <c r="BG2" i="5"/>
  <c r="BF2" i="5"/>
  <c r="BE2" i="5"/>
  <c r="BD2" i="5"/>
  <c r="BC2" i="5"/>
  <c r="BB2" i="5"/>
  <c r="BA2" i="5"/>
  <c r="AZ2" i="5"/>
  <c r="AY2" i="5"/>
  <c r="AU2" i="5"/>
  <c r="AR2" i="5"/>
  <c r="AQ2" i="5"/>
  <c r="AP2" i="5"/>
  <c r="AO2" i="5"/>
  <c r="AN2" i="5"/>
  <c r="AM2" i="5"/>
  <c r="AL2" i="5"/>
  <c r="AK2" i="5"/>
  <c r="AJ2" i="5"/>
  <c r="AI2" i="5"/>
  <c r="AH2" i="5"/>
  <c r="AG2" i="5"/>
  <c r="D86" i="4" l="1"/>
  <c r="D85" i="4"/>
  <c r="D40" i="4"/>
  <c r="D45" i="4"/>
  <c r="D77" i="4"/>
  <c r="D103" i="4"/>
  <c r="D114" i="4"/>
  <c r="D109" i="4"/>
  <c r="D107" i="4"/>
  <c r="D72" i="4"/>
  <c r="D37" i="4"/>
  <c r="D14" i="4"/>
  <c r="D52" i="4"/>
  <c r="D83" i="4"/>
  <c r="D117" i="4"/>
  <c r="D80" i="4"/>
  <c r="D98" i="4"/>
  <c r="D44" i="4"/>
  <c r="D29" i="4"/>
  <c r="D92" i="4"/>
  <c r="D88" i="4"/>
  <c r="D94" i="4"/>
  <c r="D76" i="4"/>
  <c r="D65" i="4"/>
  <c r="D75" i="4"/>
  <c r="D9" i="4"/>
  <c r="D64" i="4"/>
  <c r="D35" i="4"/>
  <c r="D82" i="4"/>
  <c r="D70" i="4"/>
  <c r="D54" i="4"/>
  <c r="C46" i="1" l="1"/>
  <c r="C31" i="1" l="1"/>
  <c r="C20" i="1"/>
  <c r="C15" i="1"/>
  <c r="C35" i="1"/>
  <c r="C21" i="1"/>
  <c r="C43" i="1"/>
  <c r="C14" i="1"/>
  <c r="C27" i="1"/>
  <c r="C12" i="1"/>
  <c r="C17" i="1"/>
  <c r="C13" i="1"/>
  <c r="C30" i="1"/>
  <c r="C29" i="1"/>
  <c r="C28" i="1"/>
  <c r="C34" i="1"/>
  <c r="C45" i="1"/>
  <c r="C42" i="1"/>
  <c r="C23" i="1"/>
  <c r="C36" i="1"/>
  <c r="C33" i="1"/>
  <c r="C24" i="1"/>
  <c r="C18" i="1"/>
  <c r="C39" i="1"/>
  <c r="C26" i="1"/>
  <c r="C16" i="1"/>
  <c r="C25" i="1"/>
  <c r="C22" i="1"/>
  <c r="C44" i="1"/>
  <c r="C19" i="1"/>
  <c r="C40" i="1"/>
  <c r="C38" i="1"/>
  <c r="C32" i="1"/>
  <c r="C41" i="1"/>
</calcChain>
</file>

<file path=xl/comments1.xml><?xml version="1.0" encoding="utf-8"?>
<comments xmlns="http://schemas.openxmlformats.org/spreadsheetml/2006/main">
  <authors>
    <author xml:space="preserve"> </author>
    <author>Shari Ziebell</author>
  </authors>
  <commentList>
    <comment ref="J1" authorId="0" shapeId="0">
      <text>
        <r>
          <rPr>
            <b/>
            <sz val="8"/>
            <color indexed="81"/>
            <rFont val="Tahoma"/>
            <family val="2"/>
          </rPr>
          <t xml:space="preserve"> System - hardware, virtual image</t>
        </r>
        <r>
          <rPr>
            <sz val="8"/>
            <color indexed="81"/>
            <rFont val="Tahoma"/>
            <family val="2"/>
          </rPr>
          <t xml:space="preserve">
</t>
        </r>
      </text>
    </comment>
    <comment ref="L1" authorId="1" shapeId="0">
      <text>
        <r>
          <rPr>
            <b/>
            <sz val="8"/>
            <color indexed="81"/>
            <rFont val="Tahoma"/>
            <family val="2"/>
          </rPr>
          <t xml:space="preserve">Shari Ziebell: Data = O/S, App, Data
</t>
        </r>
        <r>
          <rPr>
            <sz val="8"/>
            <color indexed="81"/>
            <rFont val="Tahoma"/>
            <family val="2"/>
          </rPr>
          <t xml:space="preserve">
</t>
        </r>
      </text>
    </comment>
  </commentList>
</comments>
</file>

<file path=xl/comments2.xml><?xml version="1.0" encoding="utf-8"?>
<comments xmlns="http://schemas.openxmlformats.org/spreadsheetml/2006/main">
  <authors>
    <author>Shari Ziebell</author>
  </authors>
  <commentList>
    <comment ref="BR1" authorId="0" shapeId="0">
      <text>
        <r>
          <rPr>
            <b/>
            <sz val="8"/>
            <color indexed="81"/>
            <rFont val="Tahoma"/>
            <family val="2"/>
          </rPr>
          <t>Shari Ziebell:</t>
        </r>
        <r>
          <rPr>
            <sz val="8"/>
            <color indexed="81"/>
            <rFont val="Tahoma"/>
            <family val="2"/>
          </rPr>
          <t xml:space="preserve">
Includes all online/digital presence except for BOLB. Online and telephone branch handling all incoming calls - approx 13,000 inbound and 4,000 outbound</t>
        </r>
      </text>
    </comment>
    <comment ref="B5" authorId="0" shapeId="0">
      <text>
        <r>
          <rPr>
            <b/>
            <sz val="8"/>
            <color indexed="81"/>
            <rFont val="Tahoma"/>
            <family val="2"/>
          </rPr>
          <t>Shari Ziebell:</t>
        </r>
        <r>
          <rPr>
            <sz val="8"/>
            <color indexed="81"/>
            <rFont val="Tahoma"/>
            <family val="2"/>
          </rPr>
          <t xml:space="preserve">
SaaS
In-house
Website Only
Network</t>
        </r>
      </text>
    </comment>
    <comment ref="A6" authorId="0" shapeId="0">
      <text>
        <r>
          <rPr>
            <b/>
            <sz val="8"/>
            <color indexed="81"/>
            <rFont val="Tahoma"/>
            <family val="2"/>
          </rPr>
          <t>Shari Ziebell:</t>
        </r>
        <r>
          <rPr>
            <sz val="8"/>
            <color indexed="81"/>
            <rFont val="Tahoma"/>
            <family val="2"/>
          </rPr>
          <t xml:space="preserve">
Provided by InBusiness customer relationship management</t>
        </r>
      </text>
    </comment>
    <comment ref="A7" authorId="0" shapeId="0">
      <text>
        <r>
          <rPr>
            <b/>
            <sz val="8"/>
            <color indexed="81"/>
            <rFont val="Tahoma"/>
            <family val="2"/>
          </rPr>
          <t>Shari Ziebell:</t>
        </r>
        <r>
          <rPr>
            <sz val="8"/>
            <color indexed="81"/>
            <rFont val="Tahoma"/>
            <family val="2"/>
          </rPr>
          <t xml:space="preserve">
Benefits manager for FSA</t>
        </r>
      </text>
    </comment>
    <comment ref="A8" authorId="0" shapeId="0">
      <text>
        <r>
          <rPr>
            <b/>
            <sz val="8"/>
            <color indexed="81"/>
            <rFont val="Tahoma"/>
            <family val="2"/>
          </rPr>
          <t>Shari Ziebell:</t>
        </r>
        <r>
          <rPr>
            <sz val="8"/>
            <color indexed="81"/>
            <rFont val="Tahoma"/>
            <family val="2"/>
          </rPr>
          <t xml:space="preserve">
Through Navigator - manage client funds transfers/templates</t>
        </r>
      </text>
    </comment>
    <comment ref="A10" authorId="0" shapeId="0">
      <text>
        <r>
          <rPr>
            <b/>
            <sz val="8"/>
            <color indexed="81"/>
            <rFont val="Tahoma"/>
            <family val="2"/>
          </rPr>
          <t>Shari Ziebell:</t>
        </r>
        <r>
          <rPr>
            <sz val="8"/>
            <color indexed="81"/>
            <rFont val="Tahoma"/>
            <family val="2"/>
          </rPr>
          <t xml:space="preserve">
Payroll and time cards</t>
        </r>
      </text>
    </comment>
    <comment ref="A13" authorId="0" shapeId="0">
      <text>
        <r>
          <rPr>
            <b/>
            <sz val="8"/>
            <color indexed="81"/>
            <rFont val="Tahoma"/>
            <family val="2"/>
          </rPr>
          <t>Shari Ziebell:</t>
        </r>
        <r>
          <rPr>
            <sz val="8"/>
            <color indexed="81"/>
            <rFont val="Tahoma"/>
            <family val="2"/>
          </rPr>
          <t xml:space="preserve">
Ceto cash calculator for branch cash on hand</t>
        </r>
      </text>
    </comment>
    <comment ref="A15" authorId="0" shapeId="0">
      <text>
        <r>
          <rPr>
            <b/>
            <sz val="8"/>
            <color indexed="81"/>
            <rFont val="Tahoma"/>
            <family val="2"/>
          </rPr>
          <t>Shari Ziebell:</t>
        </r>
        <r>
          <rPr>
            <sz val="8"/>
            <color indexed="81"/>
            <rFont val="Tahoma"/>
            <family val="2"/>
          </rPr>
          <t xml:space="preserve">
purchase rewards </t>
        </r>
      </text>
    </comment>
    <comment ref="A19" authorId="0" shapeId="0">
      <text>
        <r>
          <rPr>
            <b/>
            <sz val="8"/>
            <color indexed="81"/>
            <rFont val="Tahoma"/>
            <family val="2"/>
          </rPr>
          <t xml:space="preserve">Shari Ziebell:
</t>
        </r>
        <r>
          <rPr>
            <sz val="8"/>
            <color indexed="81"/>
            <rFont val="Tahoma"/>
            <family val="2"/>
          </rPr>
          <t>Client account switching software</t>
        </r>
      </text>
    </comment>
    <comment ref="A20" authorId="0" shapeId="0">
      <text>
        <r>
          <rPr>
            <b/>
            <sz val="8"/>
            <color indexed="81"/>
            <rFont val="Tahoma"/>
            <family val="2"/>
          </rPr>
          <t>Shari Ziebell:</t>
        </r>
        <r>
          <rPr>
            <sz val="8"/>
            <color indexed="81"/>
            <rFont val="Tahoma"/>
            <family val="2"/>
          </rPr>
          <t xml:space="preserve">
kleinbank.com for product and reference</t>
        </r>
      </text>
    </comment>
    <comment ref="A26" authorId="0" shapeId="0">
      <text>
        <r>
          <rPr>
            <b/>
            <sz val="8"/>
            <color indexed="81"/>
            <rFont val="Tahoma"/>
            <family val="2"/>
          </rPr>
          <t>Shari Ziebell:</t>
        </r>
        <r>
          <rPr>
            <sz val="8"/>
            <color indexed="81"/>
            <rFont val="Tahoma"/>
            <family val="2"/>
          </rPr>
          <t xml:space="preserve">
Check ordering online</t>
        </r>
      </text>
    </comment>
    <comment ref="A28" authorId="0" shapeId="0">
      <text>
        <r>
          <rPr>
            <b/>
            <sz val="8"/>
            <color indexed="81"/>
            <rFont val="Tahoma"/>
            <family val="2"/>
          </rPr>
          <t>Shari Ziebell:</t>
        </r>
        <r>
          <rPr>
            <sz val="8"/>
            <color indexed="81"/>
            <rFont val="Tahoma"/>
            <family val="2"/>
          </rPr>
          <t xml:space="preserve">
Consumer online banking</t>
        </r>
      </text>
    </comment>
    <comment ref="A29" authorId="0" shapeId="0">
      <text>
        <r>
          <rPr>
            <b/>
            <sz val="8"/>
            <color indexed="81"/>
            <rFont val="Tahoma"/>
            <family val="2"/>
          </rPr>
          <t>Shari Ziebell:</t>
        </r>
        <r>
          <rPr>
            <sz val="8"/>
            <color indexed="81"/>
            <rFont val="Tahoma"/>
            <family val="2"/>
          </rPr>
          <t xml:space="preserve">
cold storage for Fiserv created reports</t>
        </r>
      </text>
    </comment>
    <comment ref="A31" authorId="0" shapeId="0">
      <text>
        <r>
          <rPr>
            <b/>
            <sz val="8"/>
            <color indexed="81"/>
            <rFont val="Tahoma"/>
            <family val="2"/>
          </rPr>
          <t>Shari Ziebell:</t>
        </r>
        <r>
          <rPr>
            <sz val="8"/>
            <color indexed="81"/>
            <rFont val="Tahoma"/>
            <family val="2"/>
          </rPr>
          <t xml:space="preserve">
manage gift cards </t>
        </r>
      </text>
    </comment>
    <comment ref="A32" authorId="0" shapeId="0">
      <text>
        <r>
          <rPr>
            <b/>
            <sz val="8"/>
            <color indexed="81"/>
            <rFont val="Tahoma"/>
            <family val="2"/>
          </rPr>
          <t>Shari Ziebell:</t>
        </r>
        <r>
          <rPr>
            <sz val="8"/>
            <color indexed="81"/>
            <rFont val="Tahoma"/>
            <family val="2"/>
          </rPr>
          <t xml:space="preserve">
Corporate "P-card" and commercial credit cards</t>
        </r>
      </text>
    </comment>
    <comment ref="A33" authorId="0" shapeId="0">
      <text>
        <r>
          <rPr>
            <b/>
            <sz val="8"/>
            <color indexed="81"/>
            <rFont val="Tahoma"/>
            <family val="2"/>
          </rPr>
          <t>Shari Ziebell:</t>
        </r>
        <r>
          <rPr>
            <sz val="8"/>
            <color indexed="81"/>
            <rFont val="Tahoma"/>
            <family val="2"/>
          </rPr>
          <t xml:space="preserve">
Loan payment via credit cards</t>
        </r>
      </text>
    </comment>
    <comment ref="A34" authorId="0" shapeId="0">
      <text>
        <r>
          <rPr>
            <b/>
            <sz val="8"/>
            <color indexed="81"/>
            <rFont val="Tahoma"/>
            <family val="2"/>
          </rPr>
          <t>Shari Ziebell:</t>
        </r>
        <r>
          <rPr>
            <sz val="8"/>
            <color indexed="81"/>
            <rFont val="Tahoma"/>
            <family val="2"/>
          </rPr>
          <t xml:space="preserve">
consumer credit cards</t>
        </r>
      </text>
    </comment>
    <comment ref="A35" authorId="0" shapeId="0">
      <text>
        <r>
          <rPr>
            <b/>
            <sz val="8"/>
            <color indexed="81"/>
            <rFont val="Tahoma"/>
            <family val="2"/>
          </rPr>
          <t>Shari Ziebell:</t>
        </r>
        <r>
          <rPr>
            <sz val="8"/>
            <color indexed="81"/>
            <rFont val="Tahoma"/>
            <family val="2"/>
          </rPr>
          <t xml:space="preserve">
electronic communications and personal management system</t>
        </r>
      </text>
    </comment>
    <comment ref="A36" authorId="0" shapeId="0">
      <text>
        <r>
          <rPr>
            <b/>
            <sz val="8"/>
            <color indexed="81"/>
            <rFont val="Tahoma"/>
            <family val="2"/>
          </rPr>
          <t>Shari Ziebell:</t>
        </r>
        <r>
          <rPr>
            <sz val="8"/>
            <color indexed="81"/>
            <rFont val="Tahoma"/>
            <family val="2"/>
          </rPr>
          <t xml:space="preserve">
Consumer remote deposit capture thorugh DI</t>
        </r>
      </text>
    </comment>
    <comment ref="A37" authorId="0" shapeId="0">
      <text>
        <r>
          <rPr>
            <b/>
            <sz val="8"/>
            <color indexed="81"/>
            <rFont val="Tahoma"/>
            <family val="2"/>
          </rPr>
          <t>Shari Ziebell: order and manage credit reports</t>
        </r>
        <r>
          <rPr>
            <sz val="8"/>
            <color indexed="81"/>
            <rFont val="Tahoma"/>
            <family val="2"/>
          </rPr>
          <t xml:space="preserve">
</t>
        </r>
      </text>
    </comment>
    <comment ref="A39" authorId="0" shapeId="0">
      <text>
        <r>
          <rPr>
            <b/>
            <sz val="8"/>
            <color indexed="81"/>
            <rFont val="Tahoma"/>
            <family val="2"/>
          </rPr>
          <t>Shari Ziebell:</t>
        </r>
        <r>
          <rPr>
            <sz val="8"/>
            <color indexed="81"/>
            <rFont val="Tahoma"/>
            <family val="2"/>
          </rPr>
          <t xml:space="preserve">
Order gift cards </t>
        </r>
      </text>
    </comment>
    <comment ref="A43" authorId="0" shapeId="0">
      <text>
        <r>
          <rPr>
            <b/>
            <sz val="8"/>
            <color indexed="81"/>
            <rFont val="Tahoma"/>
            <family val="2"/>
          </rPr>
          <t>Shari Ziebell:</t>
        </r>
        <r>
          <rPr>
            <sz val="8"/>
            <color indexed="81"/>
            <rFont val="Tahoma"/>
            <family val="2"/>
          </rPr>
          <t xml:space="preserve">
Detect and investigate fraud activity for wires, ACH and BOLB</t>
        </r>
      </text>
    </comment>
    <comment ref="A44" authorId="0" shapeId="0">
      <text>
        <r>
          <rPr>
            <b/>
            <sz val="8"/>
            <color indexed="81"/>
            <rFont val="Tahoma"/>
            <family val="2"/>
          </rPr>
          <t>Shari Ziebell:</t>
        </r>
        <r>
          <rPr>
            <sz val="8"/>
            <color indexed="81"/>
            <rFont val="Tahoma"/>
            <family val="2"/>
          </rPr>
          <t xml:space="preserve">
image file transfer to FRB </t>
        </r>
      </text>
    </comment>
    <comment ref="A46" authorId="0" shapeId="0">
      <text>
        <r>
          <rPr>
            <b/>
            <sz val="8"/>
            <color indexed="81"/>
            <rFont val="Tahoma"/>
            <family val="2"/>
          </rPr>
          <t>Shari Ziebell:</t>
        </r>
        <r>
          <rPr>
            <sz val="8"/>
            <color indexed="81"/>
            <rFont val="Tahoma"/>
            <family val="2"/>
          </rPr>
          <t xml:space="preserve">
remote to help clients</t>
        </r>
      </text>
    </comment>
    <comment ref="A47" authorId="0" shapeId="0">
      <text>
        <r>
          <rPr>
            <b/>
            <sz val="8"/>
            <color indexed="81"/>
            <rFont val="Tahoma"/>
            <family val="2"/>
          </rPr>
          <t>Shari Ziebell:</t>
        </r>
        <r>
          <rPr>
            <sz val="8"/>
            <color indexed="81"/>
            <rFont val="Tahoma"/>
            <family val="2"/>
          </rPr>
          <t xml:space="preserve">
meeting/collaboration site</t>
        </r>
      </text>
    </comment>
    <comment ref="A48" authorId="0" shapeId="0">
      <text>
        <r>
          <rPr>
            <b/>
            <sz val="8"/>
            <color indexed="81"/>
            <rFont val="Tahoma"/>
            <family val="2"/>
          </rPr>
          <t>Shari Ziebell:</t>
        </r>
        <r>
          <rPr>
            <sz val="8"/>
            <color indexed="81"/>
            <rFont val="Tahoma"/>
            <family val="2"/>
          </rPr>
          <t xml:space="preserve">
Training site</t>
        </r>
      </text>
    </comment>
    <comment ref="A49" authorId="0" shapeId="0">
      <text>
        <r>
          <rPr>
            <b/>
            <sz val="8"/>
            <color indexed="81"/>
            <rFont val="Tahoma"/>
            <family val="2"/>
          </rPr>
          <t>Shari Ziebell:</t>
        </r>
        <r>
          <rPr>
            <sz val="8"/>
            <color indexed="81"/>
            <rFont val="Tahoma"/>
            <family val="2"/>
          </rPr>
          <t xml:space="preserve">
Spam filter/manager</t>
        </r>
      </text>
    </comment>
    <comment ref="A50" authorId="0" shapeId="0">
      <text>
        <r>
          <rPr>
            <b/>
            <sz val="8"/>
            <color indexed="81"/>
            <rFont val="Tahoma"/>
            <family val="2"/>
          </rPr>
          <t>Shari Ziebell:</t>
        </r>
        <r>
          <rPr>
            <sz val="8"/>
            <color indexed="81"/>
            <rFont val="Tahoma"/>
            <family val="2"/>
          </rPr>
          <t xml:space="preserve">
Document creator for HSA transactions</t>
        </r>
      </text>
    </comment>
    <comment ref="A51" authorId="0" shapeId="0">
      <text>
        <r>
          <rPr>
            <b/>
            <sz val="8"/>
            <color indexed="81"/>
            <rFont val="Tahoma"/>
            <family val="2"/>
          </rPr>
          <t>Shari Ziebell:</t>
        </r>
        <r>
          <rPr>
            <sz val="8"/>
            <color indexed="81"/>
            <rFont val="Tahoma"/>
            <family val="2"/>
          </rPr>
          <t xml:space="preserve">
Contact Center Mangement</t>
        </r>
      </text>
    </comment>
    <comment ref="A52" authorId="0" shapeId="0">
      <text>
        <r>
          <rPr>
            <b/>
            <sz val="8"/>
            <color indexed="81"/>
            <rFont val="Tahoma"/>
            <family val="2"/>
          </rPr>
          <t>Shari Ziebell:</t>
        </r>
        <r>
          <rPr>
            <sz val="8"/>
            <color indexed="81"/>
            <rFont val="Tahoma"/>
            <family val="2"/>
          </rPr>
          <t xml:space="preserve">
Intranet</t>
        </r>
      </text>
    </comment>
    <comment ref="A53" authorId="0" shapeId="0">
      <text>
        <r>
          <rPr>
            <b/>
            <sz val="8"/>
            <color indexed="81"/>
            <rFont val="Tahoma"/>
            <family val="2"/>
          </rPr>
          <t>Shari Ziebell:</t>
        </r>
        <r>
          <rPr>
            <sz val="8"/>
            <color indexed="81"/>
            <rFont val="Tahoma"/>
            <family val="2"/>
          </rPr>
          <t xml:space="preserve">
Account transactions</t>
        </r>
      </text>
    </comment>
    <comment ref="A55" authorId="0" shapeId="0">
      <text>
        <r>
          <rPr>
            <b/>
            <sz val="8"/>
            <color indexed="81"/>
            <rFont val="Tahoma"/>
            <family val="2"/>
          </rPr>
          <t>Shari Ziebell:</t>
        </r>
        <r>
          <rPr>
            <sz val="8"/>
            <color indexed="81"/>
            <rFont val="Tahoma"/>
            <family val="2"/>
          </rPr>
          <t xml:space="preserve">
Document creator for IRA transactions</t>
        </r>
      </text>
    </comment>
    <comment ref="A61" authorId="0" shapeId="0">
      <text>
        <r>
          <rPr>
            <b/>
            <sz val="8"/>
            <color indexed="81"/>
            <rFont val="Tahoma"/>
            <family val="2"/>
          </rPr>
          <t>Shari Ziebell:</t>
        </r>
        <r>
          <rPr>
            <sz val="8"/>
            <color indexed="81"/>
            <rFont val="Tahoma"/>
            <family val="2"/>
          </rPr>
          <t xml:space="preserve">
401K and insurance</t>
        </r>
      </text>
    </comment>
    <comment ref="A62" authorId="0" shapeId="0">
      <text>
        <r>
          <rPr>
            <b/>
            <sz val="8"/>
            <color indexed="81"/>
            <rFont val="Tahoma"/>
            <family val="2"/>
          </rPr>
          <t>Shari Ziebell:</t>
        </r>
        <r>
          <rPr>
            <sz val="8"/>
            <color indexed="81"/>
            <rFont val="Tahoma"/>
            <family val="2"/>
          </rPr>
          <t xml:space="preserve">
Mobile device management</t>
        </r>
      </text>
    </comment>
    <comment ref="A64" authorId="0" shapeId="0">
      <text>
        <r>
          <rPr>
            <b/>
            <sz val="8"/>
            <color indexed="81"/>
            <rFont val="Tahoma"/>
            <family val="2"/>
          </rPr>
          <t xml:space="preserve">Shari Ziebell:
</t>
        </r>
        <r>
          <rPr>
            <sz val="8"/>
            <color indexed="81"/>
            <rFont val="Tahoma"/>
            <family val="2"/>
          </rPr>
          <t xml:space="preserve">document software </t>
        </r>
      </text>
    </comment>
    <comment ref="A65" authorId="0" shapeId="0">
      <text>
        <r>
          <rPr>
            <b/>
            <sz val="8"/>
            <color indexed="81"/>
            <rFont val="Tahoma"/>
            <family val="2"/>
          </rPr>
          <t>Shari Ziebell:</t>
        </r>
        <r>
          <rPr>
            <sz val="8"/>
            <color indexed="81"/>
            <rFont val="Tahoma"/>
            <family val="2"/>
          </rPr>
          <t xml:space="preserve">
Includes all modules - e.g. FMS, ORM, EIM, APS, TCM, ALM, TMS</t>
        </r>
      </text>
    </comment>
    <comment ref="A66" authorId="0" shapeId="0">
      <text>
        <r>
          <rPr>
            <b/>
            <sz val="8"/>
            <color indexed="81"/>
            <rFont val="Tahoma"/>
            <family val="2"/>
          </rPr>
          <t>Shari Ziebell:</t>
        </r>
        <r>
          <rPr>
            <sz val="8"/>
            <color indexed="81"/>
            <rFont val="Tahoma"/>
            <family val="2"/>
          </rPr>
          <t xml:space="preserve">
Manage fraud cases and suspicious activity reporting</t>
        </r>
      </text>
    </comment>
    <comment ref="A67" authorId="0" shapeId="0">
      <text>
        <r>
          <rPr>
            <b/>
            <sz val="8"/>
            <color indexed="81"/>
            <rFont val="Tahoma"/>
            <family val="2"/>
          </rPr>
          <t>Shari Ziebell:</t>
        </r>
        <r>
          <rPr>
            <sz val="8"/>
            <color indexed="81"/>
            <rFont val="Tahoma"/>
            <family val="2"/>
          </rPr>
          <t xml:space="preserve">
call recording</t>
        </r>
      </text>
    </comment>
    <comment ref="A69" authorId="0" shapeId="0">
      <text>
        <r>
          <rPr>
            <b/>
            <sz val="8"/>
            <color indexed="81"/>
            <rFont val="Tahoma"/>
            <family val="2"/>
          </rPr>
          <t>Shari Ziebell:</t>
        </r>
        <r>
          <rPr>
            <sz val="8"/>
            <color indexed="81"/>
            <rFont val="Tahoma"/>
            <family val="2"/>
          </rPr>
          <t xml:space="preserve">
CIP reporting and consumer bill pay</t>
        </r>
      </text>
    </comment>
    <comment ref="A71" authorId="0" shapeId="0">
      <text>
        <r>
          <rPr>
            <b/>
            <sz val="8"/>
            <color indexed="81"/>
            <rFont val="Tahoma"/>
            <family val="2"/>
          </rPr>
          <t>Shari Ziebell:</t>
        </r>
        <r>
          <rPr>
            <sz val="8"/>
            <color indexed="81"/>
            <rFont val="Tahoma"/>
            <family val="2"/>
          </rPr>
          <t xml:space="preserve">
multi factor authentication for online account log in</t>
        </r>
      </text>
    </comment>
    <comment ref="A72" authorId="0" shapeId="0">
      <text>
        <r>
          <rPr>
            <b/>
            <sz val="8"/>
            <color indexed="81"/>
            <rFont val="Tahoma"/>
            <family val="2"/>
          </rPr>
          <t>Shari Ziebell:</t>
        </r>
        <r>
          <rPr>
            <sz val="8"/>
            <color indexed="81"/>
            <rFont val="Tahoma"/>
            <family val="2"/>
          </rPr>
          <t xml:space="preserve">
Account opening and disclosures</t>
        </r>
      </text>
    </comment>
    <comment ref="A73" authorId="0" shapeId="0">
      <text>
        <r>
          <rPr>
            <b/>
            <sz val="8"/>
            <color indexed="81"/>
            <rFont val="Tahoma"/>
            <family val="2"/>
          </rPr>
          <t>Shari Ziebell:</t>
        </r>
        <r>
          <rPr>
            <sz val="8"/>
            <color indexed="81"/>
            <rFont val="Tahoma"/>
            <family val="2"/>
          </rPr>
          <t xml:space="preserve">
Contact Center Mangement - phone support</t>
        </r>
      </text>
    </comment>
    <comment ref="A74" authorId="0" shapeId="0">
      <text>
        <r>
          <rPr>
            <b/>
            <sz val="8"/>
            <color indexed="81"/>
            <rFont val="Tahoma"/>
            <family val="2"/>
          </rPr>
          <t xml:space="preserve">Shari Ziebell:
</t>
        </r>
        <r>
          <rPr>
            <sz val="8"/>
            <color indexed="81"/>
            <rFont val="Tahoma"/>
            <family val="2"/>
          </rPr>
          <t>Health benefits</t>
        </r>
      </text>
    </comment>
    <comment ref="A75" authorId="0" shapeId="0">
      <text>
        <r>
          <rPr>
            <b/>
            <sz val="8"/>
            <color indexed="81"/>
            <rFont val="Tahoma"/>
            <family val="2"/>
          </rPr>
          <t>Shari Ziebell:</t>
        </r>
        <r>
          <rPr>
            <sz val="8"/>
            <color indexed="81"/>
            <rFont val="Tahoma"/>
            <family val="2"/>
          </rPr>
          <t xml:space="preserve">
All printers/faxes</t>
        </r>
      </text>
    </comment>
    <comment ref="A76" authorId="0" shapeId="0">
      <text>
        <r>
          <rPr>
            <b/>
            <sz val="8"/>
            <color indexed="81"/>
            <rFont val="Tahoma"/>
            <family val="2"/>
          </rPr>
          <t>Shari Ziebell:</t>
        </r>
        <r>
          <rPr>
            <sz val="8"/>
            <color indexed="81"/>
            <rFont val="Tahoma"/>
            <family val="2"/>
          </rPr>
          <t xml:space="preserve">
Unstructured data/folders</t>
        </r>
      </text>
    </comment>
    <comment ref="A77" authorId="0" shapeId="0">
      <text>
        <r>
          <rPr>
            <b/>
            <sz val="8"/>
            <color indexed="81"/>
            <rFont val="Tahoma"/>
            <family val="2"/>
          </rPr>
          <t>Shari Ziebell:</t>
        </r>
        <r>
          <rPr>
            <sz val="8"/>
            <color indexed="81"/>
            <rFont val="Tahoma"/>
            <family val="2"/>
          </rPr>
          <t xml:space="preserve">
for consumer/small business assistance</t>
        </r>
      </text>
    </comment>
    <comment ref="A78" authorId="0" shapeId="0">
      <text>
        <r>
          <rPr>
            <b/>
            <sz val="8"/>
            <color indexed="81"/>
            <rFont val="Tahoma"/>
            <family val="2"/>
          </rPr>
          <t>Shari Ziebell:</t>
        </r>
        <r>
          <rPr>
            <sz val="8"/>
            <color indexed="81"/>
            <rFont val="Tahoma"/>
            <family val="2"/>
          </rPr>
          <t xml:space="preserve">
business continuity and vendor management </t>
        </r>
      </text>
    </comment>
    <comment ref="A81" authorId="0" shapeId="0">
      <text>
        <r>
          <rPr>
            <b/>
            <sz val="8"/>
            <color indexed="81"/>
            <rFont val="Tahoma"/>
            <family val="2"/>
          </rPr>
          <t>Shari Ziebell:</t>
        </r>
        <r>
          <rPr>
            <sz val="8"/>
            <color indexed="81"/>
            <rFont val="Tahoma"/>
            <family val="2"/>
          </rPr>
          <t xml:space="preserve">
Marketing and training survey tool</t>
        </r>
      </text>
    </comment>
    <comment ref="A84" authorId="0" shapeId="0">
      <text>
        <r>
          <rPr>
            <b/>
            <sz val="8"/>
            <color indexed="81"/>
            <rFont val="Tahoma"/>
            <family val="2"/>
          </rPr>
          <t>Shari Ziebell:</t>
        </r>
        <r>
          <rPr>
            <sz val="8"/>
            <color indexed="81"/>
            <rFont val="Tahoma"/>
            <family val="2"/>
          </rPr>
          <t xml:space="preserve">
Proxy server/internet traffic monitoring</t>
        </r>
      </text>
    </comment>
    <comment ref="A86" authorId="0" shapeId="0">
      <text>
        <r>
          <rPr>
            <b/>
            <sz val="8"/>
            <color indexed="81"/>
            <rFont val="Tahoma"/>
            <family val="2"/>
          </rPr>
          <t>Shari Ziebell:</t>
        </r>
        <r>
          <rPr>
            <sz val="8"/>
            <color indexed="81"/>
            <rFont val="Tahoma"/>
            <family val="2"/>
          </rPr>
          <t xml:space="preserve">
Manage incoming &amp; outgoing domestic and intl wires</t>
        </r>
      </text>
    </comment>
    <comment ref="A87" authorId="0" shapeId="0">
      <text>
        <r>
          <rPr>
            <b/>
            <sz val="8"/>
            <color indexed="81"/>
            <rFont val="Tahoma"/>
            <family val="2"/>
          </rPr>
          <t>Shari Ziebell:</t>
        </r>
        <r>
          <rPr>
            <sz val="8"/>
            <color indexed="81"/>
            <rFont val="Tahoma"/>
            <family val="2"/>
          </rPr>
          <t xml:space="preserve">
secure e-mail and document transfer</t>
        </r>
      </text>
    </comment>
  </commentList>
</comments>
</file>

<file path=xl/comments3.xml><?xml version="1.0" encoding="utf-8"?>
<comments xmlns="http://schemas.openxmlformats.org/spreadsheetml/2006/main">
  <authors>
    <author>Shari Ziebell</author>
  </authors>
  <commentList>
    <comment ref="DP2" authorId="0" shapeId="0">
      <text>
        <r>
          <rPr>
            <b/>
            <sz val="8"/>
            <color indexed="81"/>
            <rFont val="Tahoma"/>
            <family val="2"/>
          </rPr>
          <t>Shari Ziebell:</t>
        </r>
        <r>
          <rPr>
            <sz val="8"/>
            <color indexed="81"/>
            <rFont val="Tahoma"/>
            <family val="2"/>
          </rPr>
          <t xml:space="preserve">
Public
Internal Use
Protected
Secret/Confidential</t>
        </r>
      </text>
    </comment>
  </commentList>
</comments>
</file>

<file path=xl/sharedStrings.xml><?xml version="1.0" encoding="utf-8"?>
<sst xmlns="http://schemas.openxmlformats.org/spreadsheetml/2006/main" count="4481" uniqueCount="912">
  <si>
    <t>Threat</t>
  </si>
  <si>
    <t>Worst Case Scenario</t>
  </si>
  <si>
    <t>Embezzlement</t>
  </si>
  <si>
    <t>Vandalism</t>
  </si>
  <si>
    <t>Extortion</t>
  </si>
  <si>
    <t>Terrorism</t>
  </si>
  <si>
    <t>Tornado</t>
  </si>
  <si>
    <t>Virus or Spyware Attack</t>
  </si>
  <si>
    <r>
      <t>Risk Factor</t>
    </r>
    <r>
      <rPr>
        <sz val="9"/>
        <rFont val="Arial"/>
        <family val="2"/>
      </rPr>
      <t xml:space="preserve"> (Impact x Probability)</t>
    </r>
  </si>
  <si>
    <t>Major loss of funds and severe damage to reputation.</t>
  </si>
  <si>
    <t>Fire</t>
  </si>
  <si>
    <t>Data Entry Error</t>
  </si>
  <si>
    <t>Flooding</t>
  </si>
  <si>
    <t>Local area flooding or sprinkler discharge or water line break, sump pump malfunction, damages facility paper / computers.</t>
  </si>
  <si>
    <t>Severe accident closes a facility for several hours.</t>
  </si>
  <si>
    <t>The following table prioritizes threats by measuring the impact of the threat and identifying the probability of the threat. Consideration should be given to whether adequate preparations have been given to prevent or recover from these scenarios or whether the company is willing to accept the risk.</t>
  </si>
  <si>
    <t>This table was created as follows:</t>
  </si>
  <si>
    <t>Bomb Explosion</t>
  </si>
  <si>
    <t>Bomb Threat</t>
  </si>
  <si>
    <t>Burglary / Robbery</t>
  </si>
  <si>
    <t>Gas Leak / Explosion</t>
  </si>
  <si>
    <t>Hacking / Intrusion</t>
  </si>
  <si>
    <t>Hazardous Waste</t>
  </si>
  <si>
    <t>Improper Handling of Sensitive Data</t>
  </si>
  <si>
    <t>Operational Error / Change Management Error / Process Error</t>
  </si>
  <si>
    <t>Power Failure</t>
  </si>
  <si>
    <t>Pandemic</t>
  </si>
  <si>
    <t>Snow or Ice Storm</t>
  </si>
  <si>
    <t>Threat of terroristic act causing reduced staff and high security of facility.</t>
  </si>
  <si>
    <t>Traffic Incident</t>
  </si>
  <si>
    <t>Unauthorized Physical Access</t>
  </si>
  <si>
    <t>Unauthorized Modification or Malicious Damage to Hardware / Software</t>
  </si>
  <si>
    <t>Category</t>
  </si>
  <si>
    <t>Several weeks of reduced staff (up to 40%) due to pandemic.</t>
  </si>
  <si>
    <t>Limited staff to perform critical processes.</t>
  </si>
  <si>
    <t>Erroneous transactions; embarrassment with customers if not promptly detected.</t>
  </si>
  <si>
    <t>Hardware Failure</t>
  </si>
  <si>
    <t>Air Conditioning Failure</t>
  </si>
  <si>
    <t>Internet or ISP Failure</t>
  </si>
  <si>
    <t>Telecom - Phone Failure</t>
  </si>
  <si>
    <t>Employee Theft</t>
  </si>
  <si>
    <t>Loss of significant funds due to employee theft.</t>
  </si>
  <si>
    <t>A critical IT vendor or service provider experiences an outage for several weeks.</t>
  </si>
  <si>
    <t>Property damage by vandals.</t>
  </si>
  <si>
    <t xml:space="preserve">Critical hardware failure requiring hardware replacement. </t>
  </si>
  <si>
    <t>No access to the internet from the primary internet provider for 5+ days.</t>
  </si>
  <si>
    <t>Critical business applications unavailable or functioning improperly for 5+ days.</t>
  </si>
  <si>
    <t>Day-long evacuation and business disruption at the main/data center building.</t>
  </si>
  <si>
    <t>Inaccessibility to main/data center building for 5+ days.</t>
  </si>
  <si>
    <t>A critical non-IT vendor or service provider experiences an outage for several weeks.</t>
  </si>
  <si>
    <t>Main/data center building requires shutdown for a day due to air conditioning problems.</t>
  </si>
  <si>
    <t>Customer data is exposed due to improper handling of data or lack of company policy. All customers have to be notified of the loss.</t>
  </si>
  <si>
    <t>Undetected intrusion resulting in loss of sensitive customer information.  All customers have to be notified of the loss.</t>
  </si>
  <si>
    <t>IT infrastructure component(s) unusable for 5+ days.</t>
  </si>
  <si>
    <t>Plane crash into main/data center building causing severe damage or destruction.</t>
  </si>
  <si>
    <r>
      <t xml:space="preserve">Severe damage or </t>
    </r>
    <r>
      <rPr>
        <sz val="10"/>
        <rFont val="Arial"/>
        <family val="2"/>
      </rPr>
      <t>destruction of the main/data center building.</t>
    </r>
  </si>
  <si>
    <r>
      <t xml:space="preserve">The main/data center building </t>
    </r>
    <r>
      <rPr>
        <sz val="10"/>
        <rFont val="Arial"/>
        <family val="2"/>
      </rPr>
      <t>is severely damaged or destroyed by fire.</t>
    </r>
  </si>
  <si>
    <r>
      <t xml:space="preserve">Severe damage to or </t>
    </r>
    <r>
      <rPr>
        <sz val="10"/>
        <rFont val="Arial"/>
        <family val="2"/>
      </rPr>
      <t>destruction of the main/data center building.</t>
    </r>
  </si>
  <si>
    <r>
      <t xml:space="preserve">Intruder steals backup tapes or computers with customer data </t>
    </r>
    <r>
      <rPr>
        <sz val="10"/>
        <rFont val="Arial"/>
        <family val="2"/>
      </rPr>
      <t>from the facility.</t>
    </r>
  </si>
  <si>
    <r>
      <t xml:space="preserve">System or Application </t>
    </r>
    <r>
      <rPr>
        <sz val="10"/>
        <rFont val="Arial"/>
        <family val="2"/>
      </rPr>
      <t>Software Failure</t>
    </r>
  </si>
  <si>
    <r>
      <t xml:space="preserve">Inability to communicate with customers / staff / vendors / service providers </t>
    </r>
    <r>
      <rPr>
        <sz val="10"/>
        <rFont val="Arial"/>
        <family val="2"/>
      </rPr>
      <t>via phone for 5+ days.</t>
    </r>
  </si>
  <si>
    <r>
      <t xml:space="preserve">Telecom - Data </t>
    </r>
    <r>
      <rPr>
        <sz val="10"/>
        <rFont val="Arial"/>
        <family val="2"/>
      </rPr>
      <t>Link Failure</t>
    </r>
  </si>
  <si>
    <r>
      <t xml:space="preserve">One or more days of limited productivity due to unusable IT systems </t>
    </r>
    <r>
      <rPr>
        <sz val="10"/>
        <rFont val="Arial"/>
        <family val="2"/>
      </rPr>
      <t>or loss of customer information.</t>
    </r>
  </si>
  <si>
    <r>
      <t xml:space="preserve">Third-Party </t>
    </r>
    <r>
      <rPr>
        <b/>
        <sz val="10"/>
        <rFont val="Arial"/>
        <family val="2"/>
      </rPr>
      <t>(non-IT)</t>
    </r>
    <r>
      <rPr>
        <sz val="10"/>
        <rFont val="Arial"/>
        <family val="2"/>
      </rPr>
      <t xml:space="preserve"> Vendor Failure</t>
    </r>
  </si>
  <si>
    <r>
      <t xml:space="preserve">Third-Party </t>
    </r>
    <r>
      <rPr>
        <b/>
        <sz val="10"/>
        <rFont val="Arial"/>
        <family val="2"/>
      </rPr>
      <t>( IT )</t>
    </r>
    <r>
      <rPr>
        <sz val="10"/>
        <rFont val="Arial"/>
        <family val="2"/>
      </rPr>
      <t xml:space="preserve"> Vendor Failure</t>
    </r>
  </si>
  <si>
    <r>
      <t>Impact</t>
    </r>
    <r>
      <rPr>
        <sz val="10"/>
        <rFont val="Arial"/>
        <family val="2"/>
      </rPr>
      <t xml:space="preserve"> Severe=5 Significant=3 Manageable=1</t>
    </r>
  </si>
  <si>
    <r>
      <t>Probability</t>
    </r>
    <r>
      <rPr>
        <sz val="10"/>
        <rFont val="Arial"/>
        <family val="2"/>
      </rPr>
      <t xml:space="preserve"> Likely=5 Possible=3 Unlikely=1</t>
    </r>
  </si>
  <si>
    <t>A poorly planned IT or process change or a change causing unanticipated results disrupts business.</t>
  </si>
  <si>
    <t>Communications to service providers / other organization facilities is not operational for 5+ days.</t>
  </si>
  <si>
    <t>Illegal use of one's official position or powers to obtain property, funds, or patronage through coercion. Severe damage to reputation.</t>
  </si>
  <si>
    <t>Business Continuity Risk Matrix</t>
  </si>
  <si>
    <t>Technical Disaster</t>
  </si>
  <si>
    <t>Natural Disaster</t>
  </si>
  <si>
    <t>Malicious Activity</t>
  </si>
  <si>
    <t>Earthquake</t>
  </si>
  <si>
    <t>Severe damage to or destruction of the main/data center building.</t>
  </si>
  <si>
    <t>Protection Strategy</t>
  </si>
  <si>
    <t>Description</t>
  </si>
  <si>
    <t>Frequency / Storage</t>
  </si>
  <si>
    <t>Recovery Use</t>
  </si>
  <si>
    <t>Core - Outsourced to Fiserv</t>
  </si>
  <si>
    <t>The backup of the Core is the responsibility of Fiserv</t>
  </si>
  <si>
    <t>Virtual Servers</t>
  </si>
  <si>
    <t xml:space="preserve"> </t>
  </si>
  <si>
    <t>Network Servers</t>
  </si>
  <si>
    <t>SAN</t>
  </si>
  <si>
    <t xml:space="preserve">Data Recovery Option 1 </t>
  </si>
  <si>
    <t>Recovery Priority</t>
  </si>
  <si>
    <t>System Name</t>
  </si>
  <si>
    <t>RTO</t>
  </si>
  <si>
    <t>Recovery Time Capability</t>
  </si>
  <si>
    <t>RPO</t>
  </si>
  <si>
    <t>Recovery Location</t>
  </si>
  <si>
    <t>Data Classification (Confidential, Private, Public)</t>
  </si>
  <si>
    <t>4 Hours</t>
  </si>
  <si>
    <t>2 Hours</t>
  </si>
  <si>
    <t>Fiber Line</t>
  </si>
  <si>
    <t>V</t>
  </si>
  <si>
    <t>Failover between sites</t>
  </si>
  <si>
    <t xml:space="preserve">P </t>
  </si>
  <si>
    <t>10 Days + 2 Hours</t>
  </si>
  <si>
    <t>1 Day - never recovered</t>
  </si>
  <si>
    <t>1 in each office</t>
  </si>
  <si>
    <t>4 Hours - never recovered</t>
  </si>
  <si>
    <t>Backup snapshot</t>
  </si>
  <si>
    <t>1 Day - would have to go back to previous days' data.</t>
  </si>
  <si>
    <t>P</t>
  </si>
  <si>
    <t>10 Days + 1 Day - never recovered</t>
  </si>
  <si>
    <t>None</t>
  </si>
  <si>
    <t>N/A</t>
  </si>
  <si>
    <t>Cisco 1800 Series Router that goes to the Fed</t>
  </si>
  <si>
    <t>1 Hour</t>
  </si>
  <si>
    <t>For production would call the Fed and have it shipped immediataely and then install</t>
  </si>
  <si>
    <t>Platform BPM (Business Process Manager) Manager and Administrator</t>
  </si>
  <si>
    <t>2 Hours - never recovered</t>
  </si>
  <si>
    <t>Create a new virtual server, restore from backup</t>
  </si>
  <si>
    <t>Cisco 1841 Router that goes to Fiserv</t>
  </si>
  <si>
    <t xml:space="preserve">2 Days   </t>
  </si>
  <si>
    <t>Would call Fiserv and have it shipped immediately and then  install</t>
  </si>
  <si>
    <t>Microsoft Lync 2013</t>
  </si>
  <si>
    <t>Interfaces with exchange keeps all of the messages (MAIL)</t>
  </si>
  <si>
    <t>C</t>
  </si>
  <si>
    <t xml:space="preserve">Use the backup snapshot, rebuild and restore from backup.  </t>
  </si>
  <si>
    <t>NETWORKER</t>
  </si>
  <si>
    <t>Backup server</t>
  </si>
  <si>
    <t>6 Hours - never recovered</t>
  </si>
  <si>
    <t xml:space="preserve">Install a new virtual server and install networker software  </t>
  </si>
  <si>
    <t>DVR software for video cameras in offices</t>
  </si>
  <si>
    <t>Create a new virtual server, restore from backup (all configuration files)</t>
  </si>
  <si>
    <t>Badge proximity software server (security)</t>
  </si>
  <si>
    <t>Switches</t>
  </si>
  <si>
    <t>Multiples</t>
  </si>
  <si>
    <t xml:space="preserve">Failover    </t>
  </si>
  <si>
    <t>VCENTER</t>
  </si>
  <si>
    <t xml:space="preserve">Virtual server management platform </t>
  </si>
  <si>
    <t>VMWare (ESXI)</t>
  </si>
  <si>
    <t>6 Hours</t>
  </si>
  <si>
    <t>Create a new virtual server and restore from backup Need networker backup and SQL backup for database</t>
  </si>
  <si>
    <t>SQL backup for database</t>
  </si>
  <si>
    <t>Create a new virtual server and restore from backup</t>
  </si>
  <si>
    <t>No Data just web software</t>
  </si>
  <si>
    <t>APPEP</t>
  </si>
  <si>
    <t>1 Day</t>
  </si>
  <si>
    <t>Director</t>
  </si>
  <si>
    <t>Director application and content management (SQL Database) stores scanned images.  Called cold reporting</t>
  </si>
  <si>
    <t>Cisco 1811 Router that goes to First Data for ATMS</t>
  </si>
  <si>
    <t>2 Days</t>
  </si>
  <si>
    <t>Would call First Data and have it shipped immediately and then  install</t>
  </si>
  <si>
    <t>SC2</t>
  </si>
  <si>
    <t>Source Capture application server</t>
  </si>
  <si>
    <t>Order a new server (10 days) and recover and then install the application</t>
  </si>
  <si>
    <t>SCO</t>
  </si>
  <si>
    <t>Source Capture database</t>
  </si>
  <si>
    <t>2 Hours - have recovered</t>
  </si>
  <si>
    <t>DD1</t>
  </si>
  <si>
    <t>FTO Server (Part of Item Processing Cluster) - virtual printers</t>
  </si>
  <si>
    <t>3 Days</t>
  </si>
  <si>
    <t>Install a new virtual server and install new software - would have to call Print Mail or Fiserv to help install</t>
  </si>
  <si>
    <t>4 Hours - have recovered</t>
  </si>
  <si>
    <t>5 Days</t>
  </si>
  <si>
    <t>CLIENT SERVICES</t>
  </si>
  <si>
    <t>Business Process</t>
  </si>
  <si>
    <t>Wire Processing</t>
  </si>
  <si>
    <t>ACH File and Funds Transfer Processing &amp; Returns</t>
  </si>
  <si>
    <t>Branch Capture, Merchant Capture &amp; Daily Letter Processing and Balancing</t>
  </si>
  <si>
    <t>Marketing of Commercial Banking Products and Services</t>
  </si>
  <si>
    <t>Training of Commercial Banking Products and Services</t>
  </si>
  <si>
    <t>Customer Service of Commercial  Banking Products and Services</t>
  </si>
  <si>
    <t>Sales of Merchant Credit Card Processing</t>
  </si>
  <si>
    <t>Sales of Business Credit Cards</t>
  </si>
  <si>
    <t>Account Maintenance</t>
  </si>
  <si>
    <t>Account Transactions</t>
  </si>
  <si>
    <t>Safe Deposit</t>
  </si>
  <si>
    <t>ATM Services</t>
  </si>
  <si>
    <t>Loan Documentation Preparation</t>
  </si>
  <si>
    <t>Loan Documentation Processing</t>
  </si>
  <si>
    <t>Payments, Advances, Loan Non-posts</t>
  </si>
  <si>
    <t>Financial Monitoring</t>
  </si>
  <si>
    <t>ALLL Calculation (for Call Report)</t>
  </si>
  <si>
    <t>Portfolio Monitoring</t>
  </si>
  <si>
    <t>Loan Processing</t>
  </si>
  <si>
    <t>Loan Maintenance</t>
  </si>
  <si>
    <t>Loan Closing</t>
  </si>
  <si>
    <t>Loan Application Delivery</t>
  </si>
  <si>
    <t>Underwriting and Disclosures</t>
  </si>
  <si>
    <t>Loan Approval</t>
  </si>
  <si>
    <t>Loan Documentation</t>
  </si>
  <si>
    <t>Cash &amp; Liquidity Management</t>
  </si>
  <si>
    <t>Financial Reporting</t>
  </si>
  <si>
    <t>Accounts Payable</t>
  </si>
  <si>
    <t>Payroll</t>
  </si>
  <si>
    <t>Internal Audit</t>
  </si>
  <si>
    <t>Annual Planning:  Risk Assessments, Plans, Priorities</t>
  </si>
  <si>
    <t>Compliance Training</t>
  </si>
  <si>
    <t>Staff Resource for Compliance Issues</t>
  </si>
  <si>
    <t>RTO (In Days)</t>
  </si>
  <si>
    <t>30 DAYS</t>
  </si>
  <si>
    <t>6 HOURS</t>
  </si>
  <si>
    <t>1 DAY</t>
  </si>
  <si>
    <t>3 DAYS</t>
  </si>
  <si>
    <t>4 HOURS</t>
  </si>
  <si>
    <t xml:space="preserve"> 30 DAYS</t>
  </si>
  <si>
    <t>5 DAYS</t>
  </si>
  <si>
    <t>10 DAYS</t>
  </si>
  <si>
    <t>2 DAYS</t>
  </si>
  <si>
    <t>14 DAYS</t>
  </si>
  <si>
    <t>90 DAYS</t>
  </si>
  <si>
    <t>RPO (In Days)</t>
  </si>
  <si>
    <t>Application</t>
  </si>
  <si>
    <t>Data Confidentiality Categorization ↓</t>
  </si>
  <si>
    <r>
      <t>App RTO ↓</t>
    </r>
    <r>
      <rPr>
        <b/>
        <sz val="8"/>
        <rFont val="Tahoma"/>
        <family val="2"/>
      </rPr>
      <t xml:space="preserve"> (in days)</t>
    </r>
  </si>
  <si>
    <t>Phone</t>
  </si>
  <si>
    <t>Voicemail</t>
  </si>
  <si>
    <t>MS Office</t>
  </si>
  <si>
    <t>Print Services</t>
  </si>
  <si>
    <t>Public Folders (shared drives)</t>
  </si>
  <si>
    <t>FRB Axway Secure Client</t>
  </si>
  <si>
    <t>Image Archive</t>
  </si>
  <si>
    <t>T-Soft</t>
  </si>
  <si>
    <t>Web Capture</t>
  </si>
  <si>
    <t>PR</t>
  </si>
  <si>
    <t>Profitstar</t>
  </si>
  <si>
    <t>RPM (Relationship Mgmt)</t>
  </si>
  <si>
    <t>Teller Chex</t>
  </si>
  <si>
    <t>One Point</t>
  </si>
  <si>
    <t>PU</t>
  </si>
  <si>
    <t>Wells Fargo Wires</t>
  </si>
  <si>
    <t>Wire Xchange</t>
  </si>
  <si>
    <t xml:space="preserve">      Recovery Requirements</t>
  </si>
  <si>
    <t xml:space="preserve">Manual Workaround </t>
  </si>
  <si>
    <t>Applications Needed for Process</t>
  </si>
  <si>
    <t>Cross-Training</t>
  </si>
  <si>
    <t>Vendor Reliance</t>
  </si>
  <si>
    <t>Process Resources</t>
  </si>
  <si>
    <t>Process Description</t>
  </si>
  <si>
    <t>Process Frequency</t>
  </si>
  <si>
    <t>Location</t>
  </si>
  <si>
    <t>RTO (Final Approved)</t>
  </si>
  <si>
    <t>RTO / RPO Justification</t>
  </si>
  <si>
    <t>Customer Service</t>
  </si>
  <si>
    <t>Company Image</t>
  </si>
  <si>
    <t>Regulatory /Contractual</t>
  </si>
  <si>
    <t>Vendor Relations</t>
  </si>
  <si>
    <t>Competitive Advantage</t>
  </si>
  <si>
    <t>Accuracy</t>
  </si>
  <si>
    <t xml:space="preserve">Productivity </t>
  </si>
  <si>
    <t>Explanation</t>
  </si>
  <si>
    <t>Lost Revenue</t>
  </si>
  <si>
    <t>Deferred Revenue</t>
  </si>
  <si>
    <t>Fines / Penalties  /Lawsuits</t>
  </si>
  <si>
    <t>Other Costs</t>
  </si>
  <si>
    <t>Explanation of Financial Impacts</t>
  </si>
  <si>
    <t>Describe</t>
  </si>
  <si>
    <t>Any apps w/ RTO different than process?</t>
  </si>
  <si>
    <t>External vendor that can perform process</t>
  </si>
  <si>
    <t>Other Work Location</t>
  </si>
  <si>
    <t xml:space="preserve">Home </t>
  </si>
  <si>
    <t>If yes, Have you performed remotely?</t>
  </si>
  <si>
    <t>Who are your critical vendors?</t>
  </si>
  <si>
    <t>Have you identified alternate vendors?</t>
  </si>
  <si>
    <t>Special Forms Needed</t>
  </si>
  <si>
    <t>Vital Records Needed</t>
  </si>
  <si>
    <t>Published Phone Numbers to be Restored</t>
  </si>
  <si>
    <t>Special Equipment Needed</t>
  </si>
  <si>
    <t>Open/closing savings, checking, money market, certificates and stop payments.</t>
  </si>
  <si>
    <t>WEEKLY</t>
  </si>
  <si>
    <t>Could do this process manually for a few days</t>
  </si>
  <si>
    <t>X</t>
  </si>
  <si>
    <t>H</t>
  </si>
  <si>
    <t>L</t>
  </si>
  <si>
    <t>High customer and revenue impact</t>
  </si>
  <si>
    <t>M</t>
  </si>
  <si>
    <t>N</t>
  </si>
  <si>
    <t>Need money in deposit accounts to lend</t>
  </si>
  <si>
    <t>YES</t>
  </si>
  <si>
    <t>NO</t>
  </si>
  <si>
    <t>Fiserv, Deluxe</t>
  </si>
  <si>
    <t>Typewriter and an encoder</t>
  </si>
  <si>
    <t>Assist with debit cards, bill pay, online banking, statements</t>
  </si>
  <si>
    <t>DAILY</t>
  </si>
  <si>
    <t>High customer impact</t>
  </si>
  <si>
    <t>Fiserv, First Data</t>
  </si>
  <si>
    <t>Process withdrawals, deposits, loan payments, dispense cash, cashier checks</t>
  </si>
  <si>
    <t>Hand written transactions</t>
  </si>
  <si>
    <t>Sale of an access to Safe Deposit boxes.</t>
  </si>
  <si>
    <t>This is a manual process</t>
  </si>
  <si>
    <t>This is a manual process and could still be done</t>
  </si>
  <si>
    <t>Security Products</t>
  </si>
  <si>
    <t>Filling and Balancing ATM Machine</t>
  </si>
  <si>
    <t>This could wait</t>
  </si>
  <si>
    <t>This could wait for a few days</t>
  </si>
  <si>
    <t>Not critical</t>
  </si>
  <si>
    <t>PR &amp; C</t>
  </si>
  <si>
    <t>Stat Key through First Data for remote balancing</t>
  </si>
  <si>
    <t>Assist with updating file, address changes, and loan payments</t>
  </si>
  <si>
    <t>This could be done manually</t>
  </si>
  <si>
    <t>Fiserv and Wolters Kluwer</t>
  </si>
  <si>
    <t>Coordinating the execution of the documents with customers and the Bank.</t>
  </si>
  <si>
    <t>Could do this manually for a while</t>
  </si>
  <si>
    <t>Could type the documents</t>
  </si>
  <si>
    <t>Title Companies</t>
  </si>
  <si>
    <t>Title Companies and Attorneys</t>
  </si>
  <si>
    <t>Preparing files for processing the closed loan documents</t>
  </si>
  <si>
    <t>Wolters Kluwer, Fiserv, Equifax</t>
  </si>
  <si>
    <t>Loan Worksheet</t>
  </si>
  <si>
    <t>Typewriter</t>
  </si>
  <si>
    <t>Prepare loan presentation, evaluation and underwriting documents.</t>
  </si>
  <si>
    <t>15 DAYS</t>
  </si>
  <si>
    <t>Could do the presentation verbally</t>
  </si>
  <si>
    <t>Could verbally do the presentation</t>
  </si>
  <si>
    <t>Gather needed info from business lines as outlined in the audit scope;  assess and compare the records/process against the reg/policies to ascertain compliance;  prepare and deliver results and recommendations for improvement</t>
  </si>
  <si>
    <t>MONTHLY</t>
  </si>
  <si>
    <t>EDEN PRAIRIE</t>
  </si>
  <si>
    <t>Manual process</t>
  </si>
  <si>
    <t>Internal process</t>
  </si>
  <si>
    <t>Outsource</t>
  </si>
  <si>
    <t>Highlighters</t>
  </si>
  <si>
    <t>Conduct separate audit and compliance risk assessments; interview across department heads for input on risks;  create audit plan and compliance plan, present to board for approval;  complete the plans throughout the year.</t>
  </si>
  <si>
    <t>ANNUALLY</t>
  </si>
  <si>
    <t>Review and learn needed changes, create implementation plan; train, implement, test/monitor; add to future audits</t>
  </si>
  <si>
    <t>QUARTERLY</t>
  </si>
  <si>
    <t>Ensure all staff is trained periodically in areas pertinent to their roles and whenever there are new or changing regs, policies or procedures.</t>
  </si>
  <si>
    <t>Pulling credit reports, flood certs and title work and reviewing.  Pulling  collateral evaluations and establishing insurance.  Requesting early disclosures from our loan operations department.</t>
  </si>
  <si>
    <t xml:space="preserve">Could call or use the mail </t>
  </si>
  <si>
    <t>Oreo, Impounding</t>
  </si>
  <si>
    <t>2-4 Weeks</t>
  </si>
  <si>
    <t>Yes list of approved vendors</t>
  </si>
  <si>
    <t xml:space="preserve">Clients complete a loan application online which includes disclosures.  The customer completes and returns the application online with the required financial documentation.  </t>
  </si>
  <si>
    <t>Could complete forms manually</t>
  </si>
  <si>
    <t>Hard copy</t>
  </si>
  <si>
    <t>Loan Application Form, and Disclosure Forms</t>
  </si>
  <si>
    <t xml:space="preserve">Seeking final approval from the various areas based on the dollar amount to grant the customer a loan.  </t>
  </si>
  <si>
    <t>Meet in person</t>
  </si>
  <si>
    <t>After loan approval need to request loan documents from Loan Operations for checks and balances.</t>
  </si>
  <si>
    <t>Could work through this with an outside source</t>
  </si>
  <si>
    <t>Outside source, print a template</t>
  </si>
  <si>
    <t>Consumer and Commercial Loan Worksheet</t>
  </si>
  <si>
    <t>Physical time with the client to sign the documents and close the loan.  This also includes loan disbursement.</t>
  </si>
  <si>
    <t>Title company or close outside</t>
  </si>
  <si>
    <t>List of specified title companies</t>
  </si>
  <si>
    <t>Provide signed documentation to file the title of a vehicle, filing a mortgage, perfecting the lien, etc. to Loan Operations.</t>
  </si>
  <si>
    <t>2 WEEKS</t>
  </si>
  <si>
    <t>Personally deliver documents</t>
  </si>
  <si>
    <t>Title companies</t>
  </si>
  <si>
    <t>Quarterly analysis of the appropriate mount of ALLL, including review of Criticized Asset Reports, Risk Ratings, Impairment Calculations, Classified Loans</t>
  </si>
  <si>
    <t>If timing was critical could ask for an extension</t>
  </si>
  <si>
    <t>Monitor overdrafts, past dues, and BBC compliance to identify customer issues</t>
  </si>
  <si>
    <t>Could wait for 5 days</t>
  </si>
  <si>
    <t>Could wait for a few days</t>
  </si>
  <si>
    <t>Prepare loan presentations for current and prospective customers; submit to SRLC for approval (Above $400K)</t>
  </si>
  <si>
    <t>Could perform manually</t>
  </si>
  <si>
    <t>Order all commercial and residential appraisals; work with appraisers, appraisal reviewer and ARC designee to finalize and approve; prepare RE evaluations and work with ARC designee for Approval</t>
  </si>
  <si>
    <t>Regular monitoring of existing customers financial performance by spreading financial statements, updating trend cards, monthly marketable securities report.</t>
  </si>
  <si>
    <t>Client ACH file and funds transfers are received through business online banking/Premier ACH or ACH Manager.  ACH returns are manually processed and tie in with the branch capture/cash-letter balancing and processing.</t>
  </si>
  <si>
    <t>Customer impact if wires can't be completed</t>
  </si>
  <si>
    <t>Customer and revenue impacts</t>
  </si>
  <si>
    <t xml:space="preserve">Fiserv  </t>
  </si>
  <si>
    <t>ACH Client List and Processing Log</t>
  </si>
  <si>
    <t>Assigned User Tokens and Codes</t>
  </si>
  <si>
    <t>Provide support for online banking products and services.</t>
  </si>
  <si>
    <t>Customer impact if support isn't available for online banking services</t>
  </si>
  <si>
    <t>Branches</t>
  </si>
  <si>
    <t>Fiserv</t>
  </si>
  <si>
    <t>Online Banking Agreement Forms and Service Request Forms</t>
  </si>
  <si>
    <t>Daily scanning and processing of deposits (branch &amp; merchant).  Pull in electronic cash-letters and route to Fiserv to post to client's accounts.  Send out outgoing electronic cash-letters at the end of each business day (EOD cash letter can wait until next day).</t>
  </si>
  <si>
    <t>Customer impact if not posted to accounts in a timely manner.</t>
  </si>
  <si>
    <t>Fiserv and Federal Reserve</t>
  </si>
  <si>
    <t xml:space="preserve">Unisys IRD Printer, Assigned User Tokens and codes, </t>
  </si>
  <si>
    <t>Non-posts are exceptions or rejects from previous day's processing that need to be corrected and reposted.  Returns decisions tie in with the Branch Capture processing and should be returned in a timely manner.</t>
  </si>
  <si>
    <t>Customer impact</t>
  </si>
  <si>
    <t xml:space="preserve">Return Processing Form, </t>
  </si>
  <si>
    <t>Unisys IRD Printer</t>
  </si>
  <si>
    <t>ATM/Debit Card Services</t>
  </si>
  <si>
    <t xml:space="preserve">Maintain card change requests (limits, status changes, etc.)  This would not include new card requests.  </t>
  </si>
  <si>
    <t>Service Request Forms</t>
  </si>
  <si>
    <t xml:space="preserve">Daily processing of manual and online banking wire transfer requests.  </t>
  </si>
  <si>
    <t>Wires could be called into the Fed</t>
  </si>
  <si>
    <t>Call them in to the Fed</t>
  </si>
  <si>
    <t>Fiserv, Wells Fargo</t>
  </si>
  <si>
    <t>Federal Reserve, Federal Home Loan Bank, Wells Fargo</t>
  </si>
  <si>
    <t>Wire Balancing Form and Wire Forms</t>
  </si>
  <si>
    <t xml:space="preserve">Assigned User Tokens and Codes </t>
  </si>
  <si>
    <t>Could do this process manually or it could wait</t>
  </si>
  <si>
    <t>Manual Process</t>
  </si>
  <si>
    <t>Agreements, Business Online Banking Application</t>
  </si>
  <si>
    <t>Marketing Commercial Deposit Accounts, Cash Management products and services.</t>
  </si>
  <si>
    <t>Train and implement Commercial Deposit Accounts, Cash Management products and services.</t>
  </si>
  <si>
    <t>Provide customer service of Commercial Deposit Accounts, Cash Management products and services.</t>
  </si>
  <si>
    <t>Deposit Operations</t>
  </si>
  <si>
    <t>Selling merchant credit cards and processing.</t>
  </si>
  <si>
    <t>Selling business credit cards.</t>
  </si>
  <si>
    <t>Elan Financial Services</t>
  </si>
  <si>
    <t>Could call Federal Home Bank and perform manually</t>
  </si>
  <si>
    <t>Can call Federal Home Bank if they needed to borrow money.  Phone and excel spreadsheets.</t>
  </si>
  <si>
    <t>Federal Home Loan Bank, Federal Reserve, Wells Fargo</t>
  </si>
  <si>
    <t>Wire Forms</t>
  </si>
  <si>
    <t>External regulatory reports, FDIC Call Reports, and Federal Reserve FR Y-8 Reports</t>
  </si>
  <si>
    <t>Could complete manually and file in 3 days</t>
  </si>
  <si>
    <t>Could wait for system availability</t>
  </si>
  <si>
    <t xml:space="preserve">PR   </t>
  </si>
  <si>
    <t>Fidelity Information Systems (FIS)</t>
  </si>
  <si>
    <t>Payments to vendors and expense reimbursements to employees.</t>
  </si>
  <si>
    <t>Manual checks or wait</t>
  </si>
  <si>
    <t>Could do this manually</t>
  </si>
  <si>
    <t>Write manual checks</t>
  </si>
  <si>
    <t>Check Stock</t>
  </si>
  <si>
    <t>Payroll is all outsourced to Doherty.  Each employee enters their own time on the Doherty site and managers approve it and Doherty does the rest.</t>
  </si>
  <si>
    <t>BI-WEEKLY</t>
  </si>
  <si>
    <t>This is all outsourced - there wouldn't be an impact</t>
  </si>
  <si>
    <t>Process payments, advances and balance loan non-posts.</t>
  </si>
  <si>
    <t>Manage participated and serviced loans.  (Other Banks or Piper Jaffrey are customers)</t>
  </si>
  <si>
    <t>Fiserv and Partner Banks</t>
  </si>
  <si>
    <t>Preparation of loan documents for the bank.</t>
  </si>
  <si>
    <t>Could utilize lawyers for a day</t>
  </si>
  <si>
    <t>Could call lawyers to draft a note</t>
  </si>
  <si>
    <t>Wolters Kluwer</t>
  </si>
  <si>
    <t>Process the executed loan documents.</t>
  </si>
  <si>
    <t>Would wait for the system to be available</t>
  </si>
  <si>
    <t>Need to wait for systems but would be more of an internal impact</t>
  </si>
  <si>
    <t xml:space="preserve">X </t>
  </si>
  <si>
    <t>Private</t>
  </si>
  <si>
    <t>Confidential</t>
  </si>
  <si>
    <t>Is there a Work-Around</t>
  </si>
  <si>
    <t>Remotely</t>
  </si>
  <si>
    <t>Alternate Locations</t>
  </si>
  <si>
    <t>Federal Reserve</t>
  </si>
  <si>
    <t>WipFli, McGladrey, Eide Bailey</t>
  </si>
  <si>
    <t>Banker Systems, other Disclosure printers</t>
  </si>
  <si>
    <t>Process Information</t>
  </si>
  <si>
    <t>Plan Process Owner</t>
  </si>
  <si>
    <t>Business Unit</t>
  </si>
  <si>
    <t>Daily replication to offsite.</t>
  </si>
  <si>
    <t>Vsphere is the software used to manage all the virtual machines.</t>
  </si>
  <si>
    <t>VMWare is the manufacturer used for virtual machines</t>
  </si>
  <si>
    <t xml:space="preserve">Server 2008 template is available for creating new servers. </t>
  </si>
  <si>
    <t xml:space="preserve">Backup programs take snapshots periodically and scheduled backups nightly.  </t>
  </si>
  <si>
    <t>Restore image - call manufacturer for help if necessary</t>
  </si>
  <si>
    <t>Multiple Host Servers for Virtual Environment (each host runs 12 virtual machines)</t>
  </si>
  <si>
    <t>Fiserv, SNL Banker</t>
  </si>
  <si>
    <t xml:space="preserve">YES </t>
  </si>
  <si>
    <t>AD**</t>
  </si>
  <si>
    <t>Multiple Domain Controllers for each branch to allow survivability</t>
  </si>
  <si>
    <t>Fiserv Router</t>
  </si>
  <si>
    <t>Branch</t>
  </si>
  <si>
    <t>All offices</t>
  </si>
  <si>
    <t xml:space="preserve">Requested RTO </t>
  </si>
  <si>
    <t>Requested RPO</t>
  </si>
  <si>
    <t>6 HRS</t>
  </si>
  <si>
    <t>4 HRS</t>
  </si>
  <si>
    <t>Can process be performed off-hrs?</t>
  </si>
  <si>
    <t>This needs to be performed within in 4 hrs of action</t>
  </si>
  <si>
    <t>Participation, Serviced Loan Management</t>
  </si>
  <si>
    <t>Customer / Dependencies</t>
  </si>
  <si>
    <t xml:space="preserve">Financial Impact </t>
  </si>
  <si>
    <t>Implement new and changes to regulations and monitor progress, performance</t>
  </si>
  <si>
    <t>Appraisal, Evaluations</t>
  </si>
  <si>
    <t>Underwriting, Approval</t>
  </si>
  <si>
    <t>Perfecting Collateral</t>
  </si>
  <si>
    <t>Loan Underwriting, Approval</t>
  </si>
  <si>
    <t>Account Open, Close Services</t>
  </si>
  <si>
    <t>Could complete the report manually but need to file it electronically</t>
  </si>
  <si>
    <t>Could do this long-hand if necessary and enter the information later</t>
  </si>
  <si>
    <t>Could call and ask for an extension</t>
  </si>
  <si>
    <t>Personally deliver the lien or mortgage to the county</t>
  </si>
  <si>
    <t>Physically meet with approvers</t>
  </si>
  <si>
    <t>Call vendors, mail info, etc.</t>
  </si>
  <si>
    <t>This is a manual process but the training is online</t>
  </si>
  <si>
    <t>Manually write up changes and input later</t>
  </si>
  <si>
    <t>Manually write up changes, call on the phone</t>
  </si>
  <si>
    <t># of staff to perform process</t>
  </si>
  <si>
    <t>Min # of staff needed</t>
  </si>
  <si>
    <t>Clifton Larson Allen</t>
  </si>
  <si>
    <t>Equifax, Wolters Kluwer, approved title companies and approved appraisers</t>
  </si>
  <si>
    <t>Online Banking Maintenance &amp; Support</t>
  </si>
  <si>
    <t>Daily processing of non-posts, chargeback's &amp; return decision items</t>
  </si>
  <si>
    <t>Ensuring we maintain enough cash in our correspondent accounts to meet our customers' needs.  Updating our FHLB collateral so that we can borrow from them as necessary.  Adjust wholesale deposits as needed.</t>
  </si>
  <si>
    <t>Deposit Slips, Counter Checks, and Withdrawal Slips, Cashier Check Stock, Gift Card Stock</t>
  </si>
  <si>
    <t>Audit Forms, Work papers from Checkpoint Website</t>
  </si>
  <si>
    <t>Receive compliance inquiries from staff; research the issue/question and respond.</t>
  </si>
  <si>
    <t>Written procedures</t>
  </si>
  <si>
    <t>Written procedures, IRD Print Paper</t>
  </si>
  <si>
    <t>Arta &amp; Hostbridge</t>
  </si>
  <si>
    <t>FedLine &amp; Fed Advantage</t>
  </si>
  <si>
    <t>Operating System</t>
  </si>
  <si>
    <t>Application or Service</t>
  </si>
  <si>
    <t>Physical or Virtual</t>
  </si>
  <si>
    <t>Across Site Recovery Option</t>
  </si>
  <si>
    <t>Production Location</t>
  </si>
  <si>
    <t>System or Technology Dependencies</t>
  </si>
  <si>
    <t>Descriptions or Comments</t>
  </si>
  <si>
    <t>MPLS, Routers, Firewall, Switches</t>
  </si>
  <si>
    <t>Everything</t>
  </si>
  <si>
    <t>MPLS, Routers, Firewall, Switches, Active Directory, Premise panels, Prox readers and anywhere usb device</t>
  </si>
  <si>
    <t>T-1 to Qwest</t>
  </si>
  <si>
    <t>Active Directory, MAIL, Fiserv Router, Fed Router, SCO, SC2, Director, Depcon, PMSYS01A, FSPS01</t>
  </si>
  <si>
    <t>Active Directory, MAIL, Fiserv Router, Fed Router, SCO, Director, Depcon, PMSYS01A, FSPS01, DD1</t>
  </si>
  <si>
    <t>Active Directory, MAIL, Fiserv Router, Fed Router, SC2, Director, Depcon, PMSYS01A, FSPS01, DD1</t>
  </si>
  <si>
    <t>MPLS, Routers, Firewall, Switches, Active Directory, FSPS01, APPEP</t>
  </si>
  <si>
    <t>Public Workstations</t>
  </si>
  <si>
    <t>Buy new, install applications</t>
  </si>
  <si>
    <t>Network</t>
  </si>
  <si>
    <t>Basic Office Applications</t>
  </si>
  <si>
    <t>Production Workstations</t>
  </si>
  <si>
    <t>End User Applications</t>
  </si>
  <si>
    <t>Threat Management Gateway - DMZ software</t>
  </si>
  <si>
    <t>Deploy new virtual machine, reinstall software</t>
  </si>
  <si>
    <t>Copier or Printer Devices</t>
  </si>
  <si>
    <t>Varies</t>
  </si>
  <si>
    <t xml:space="preserve">Printing, scanning </t>
  </si>
  <si>
    <t>Install new device</t>
  </si>
  <si>
    <t>Buy new device and install on server</t>
  </si>
  <si>
    <t xml:space="preserve">Server </t>
  </si>
  <si>
    <t>OfficeWebApps</t>
  </si>
  <si>
    <t>LyncMon</t>
  </si>
  <si>
    <t>Allows presentations with Lync</t>
  </si>
  <si>
    <t>Monitors Lync traffic and calls</t>
  </si>
  <si>
    <t xml:space="preserve">Restore image, Create new VM and install new </t>
  </si>
  <si>
    <t>MPLS, Routers, Firewall, Switches, Active Directory, Mail, Lync, UM, TMG</t>
  </si>
  <si>
    <t>MPLS, Routers, Firewall, Switches, Active Directory, Mail, Lync</t>
  </si>
  <si>
    <t>DVR</t>
  </si>
  <si>
    <t>ESM</t>
  </si>
  <si>
    <t>Video software for office cameras - 1 in each office</t>
  </si>
  <si>
    <t>Order a new DVR (10 days) and install the cameras</t>
  </si>
  <si>
    <t>MPLS, Routers, Firewall, Switches, Active Directory, Security, ISM</t>
  </si>
  <si>
    <t>MS Windows Server 2008R2</t>
  </si>
  <si>
    <t>Microsoft Windows 7</t>
  </si>
  <si>
    <t>Microsoft Server 2003</t>
  </si>
  <si>
    <t>Microsoft Vista</t>
  </si>
  <si>
    <t xml:space="preserve">Loss of power at the main/data center building for 5+ days. Backup generators fail. </t>
  </si>
  <si>
    <t>Power/Generator Failure</t>
  </si>
  <si>
    <t xml:space="preserve">Loss of power at the main/data center building for 5+ days. </t>
  </si>
  <si>
    <t>Robbery at any facility.</t>
  </si>
  <si>
    <t>Airplane Crash -alt data center</t>
  </si>
  <si>
    <t>Airplane Crash - primary facility</t>
  </si>
  <si>
    <t>Plane crash into backup/data center building causing severe damage or destruction.</t>
  </si>
  <si>
    <r>
      <t xml:space="preserve">2. </t>
    </r>
    <r>
      <rPr>
        <b/>
        <sz val="10"/>
        <color rgb="FFFF0000"/>
        <rFont val="Arial"/>
        <family val="2"/>
      </rPr>
      <t xml:space="preserve">Probability </t>
    </r>
    <r>
      <rPr>
        <sz val="10"/>
        <rFont val="Arial"/>
        <family val="2"/>
      </rPr>
      <t>is identified by company staff and is subjective with knowledge of past experiences by threat type. Probability is rated as (Likely = 5, Possible =3, Unlikely = 1) and assigned a numerical value.</t>
    </r>
  </si>
  <si>
    <r>
      <t xml:space="preserve">1. </t>
    </r>
    <r>
      <rPr>
        <b/>
        <sz val="10"/>
        <color rgb="FFFF0000"/>
        <rFont val="Arial"/>
        <family val="2"/>
      </rPr>
      <t>Impact</t>
    </r>
    <r>
      <rPr>
        <sz val="10"/>
        <rFont val="Arial"/>
        <family val="2"/>
      </rPr>
      <t xml:space="preserve"> is identified by company staff and is subjective with knowledge of the area. Impact is rated as (Severe = 5, Significant = 3, Manageable = 1) and assigned a numerical value. </t>
    </r>
  </si>
  <si>
    <r>
      <t xml:space="preserve">3. </t>
    </r>
    <r>
      <rPr>
        <b/>
        <sz val="10"/>
        <color rgb="FFFF0000"/>
        <rFont val="Arial"/>
        <family val="2"/>
      </rPr>
      <t>Risk factor</t>
    </r>
    <r>
      <rPr>
        <sz val="10"/>
        <rFont val="Arial"/>
        <family val="2"/>
      </rPr>
      <t xml:space="preserve"> is derived by the formula - Risk factor = Impact X Probability</t>
    </r>
  </si>
  <si>
    <r>
      <t xml:space="preserve">4. </t>
    </r>
    <r>
      <rPr>
        <b/>
        <sz val="10"/>
        <color rgb="FFFF0000"/>
        <rFont val="Arial"/>
        <family val="2"/>
      </rPr>
      <t xml:space="preserve">Threat </t>
    </r>
    <r>
      <rPr>
        <sz val="10"/>
        <rFont val="Arial"/>
        <family val="2"/>
      </rPr>
      <t>categories are malicious activity, natural disasters, technical disasters and pandemics. Threats are prioritized based on Risk Factor - highest to lowest. The Risk Factor ranking is subjective and imprecise with no significance to the ordering of risks that have the same Risk Factor number.</t>
    </r>
  </si>
  <si>
    <t xml:space="preserve">All production servers are virtualized and replicated offsite. </t>
  </si>
  <si>
    <t xml:space="preserve">Recovery of production servers takes up to 2 hours depending on the image size.  Offsite the servers would take 2 - 3 hours to reset all DNS/DHCP, turn on and bring to most current update. </t>
  </si>
  <si>
    <t xml:space="preserve">VMWare VDPA is used for all virtual servers to restore data or images.   </t>
  </si>
  <si>
    <t>Full backups intially and incrementals daily.</t>
  </si>
  <si>
    <t xml:space="preserve">Backups are stored on the data domain.  The data domain is replicated offsite all day long. Virtual servers are replicated each day. </t>
  </si>
  <si>
    <t>The storage device is in Chaska/KBSC.  Each office has their own domain controller.  These are backed up every evening.  The info on the storage VNEx is replicated offsite to Mpls/511</t>
  </si>
  <si>
    <t xml:space="preserve">This is running all day long and is being sent all day to Mpls/511 via real time.  </t>
  </si>
  <si>
    <t xml:space="preserve"> Disaster and Backup Policy</t>
  </si>
  <si>
    <t xml:space="preserve">Special Websites Needed (not associated with applications) </t>
  </si>
  <si>
    <t>High Impact Times</t>
  </si>
  <si>
    <t>Work in shifts?</t>
  </si>
  <si>
    <t>Intangible Impact (H, M, L, None)</t>
  </si>
  <si>
    <t>What BU do you depend on to perform this process?</t>
  </si>
  <si>
    <t>Number of other staff cross-trained within BU</t>
  </si>
  <si>
    <t>Other BU or staff that can perform process</t>
  </si>
  <si>
    <t>Maximum Delay of Process (MTD)</t>
  </si>
  <si>
    <t>Large Item Returns</t>
  </si>
  <si>
    <t>Correspondent Daily Settlement</t>
  </si>
  <si>
    <t>What BU relies on this process?</t>
  </si>
  <si>
    <t>Deposit Verifications</t>
  </si>
  <si>
    <t>Consumer Banking</t>
  </si>
  <si>
    <t>Process examples</t>
  </si>
  <si>
    <t>FA</t>
  </si>
  <si>
    <t>Accounts payable</t>
  </si>
  <si>
    <t>Accounts receivable</t>
  </si>
  <si>
    <t>General ledger</t>
  </si>
  <si>
    <t>Financial reporting</t>
  </si>
  <si>
    <t>HR</t>
  </si>
  <si>
    <t>Benefits</t>
  </si>
  <si>
    <t>Recruiting</t>
  </si>
  <si>
    <t>Training</t>
  </si>
  <si>
    <t>Lending</t>
  </si>
  <si>
    <t xml:space="preserve">Application </t>
  </si>
  <si>
    <t>Underwriting</t>
  </si>
  <si>
    <t>Disbursing</t>
  </si>
  <si>
    <t>Servicing</t>
  </si>
  <si>
    <t>Operations</t>
  </si>
  <si>
    <t>Account maintenance</t>
  </si>
  <si>
    <t>Statement processing</t>
  </si>
  <si>
    <t>Electronic services</t>
  </si>
  <si>
    <t xml:space="preserve">Banking </t>
  </si>
  <si>
    <t>Open/close accounts</t>
  </si>
  <si>
    <t>Cash ordering</t>
  </si>
  <si>
    <t>Customer inquiries</t>
  </si>
  <si>
    <t>Teller transactions</t>
  </si>
  <si>
    <t>Item processing</t>
  </si>
  <si>
    <t>ATM reconciliation</t>
  </si>
  <si>
    <t>Ask during the BIA interview process</t>
  </si>
  <si>
    <t>Who will/could do this if primary was gone for extended period of time</t>
  </si>
  <si>
    <t>How have you done this process in the past when there were issues</t>
  </si>
  <si>
    <t>Building loss, Data loss, Pandemic</t>
  </si>
  <si>
    <t>What other locations can you do this - manual process or current process</t>
  </si>
  <si>
    <t>Who is your customer</t>
  </si>
  <si>
    <t>Internal Customer</t>
  </si>
  <si>
    <t>External Customer</t>
  </si>
  <si>
    <t>Don't assume the vendor will be available</t>
  </si>
  <si>
    <t xml:space="preserve">In the event of catastrophic failure to the production site, the 5 hosts will run the essential virtual servers until the production site can be recovered. </t>
  </si>
  <si>
    <t xml:space="preserve">VNEx is the SAN product.  There are data stores within the SAN (20) groups of RAID hard drives.  These replicate off to Mpls/511. </t>
  </si>
  <si>
    <t>Network Switches &amp; Controllers</t>
  </si>
  <si>
    <t>Each branch office has 1 switch and 1 phone controller</t>
  </si>
  <si>
    <t>There are 42 layer 3 network switches and 25 phone controllers at the various sites</t>
  </si>
  <si>
    <t>There are 10 production hosts in Chaska/KBSC to run the 150 virtual servers and 5 continuity hosts in Mpls/511.</t>
  </si>
  <si>
    <t>Perimeter Security Devices</t>
  </si>
  <si>
    <t>Dell Secureworks - iSensor IDS/IPS (2), Checkpoint Firewall (1), Zix e-mail (1), Mobile Iron (1)</t>
  </si>
  <si>
    <t>Network Routers</t>
  </si>
  <si>
    <t>MPLS, Enventis, Fedline</t>
  </si>
  <si>
    <t>City Managed Router</t>
  </si>
  <si>
    <t>Ethernet (fiber) for the KBSC Data center</t>
  </si>
  <si>
    <t>Would call city to install a new one</t>
  </si>
  <si>
    <t>Would install this in 511</t>
  </si>
  <si>
    <t>None in 511 - this is a single point of failure</t>
  </si>
  <si>
    <t>Wouldn't recover in 511</t>
  </si>
  <si>
    <t xml:space="preserve">There's a Vcenter DR in 511.  This Vcenter server is for production only.  In a disaster would log into Vcenter to turn on servers. </t>
  </si>
  <si>
    <t>Exists in 511 Datacenter</t>
  </si>
  <si>
    <t>511 Datacenter</t>
  </si>
  <si>
    <t>Would restore the virtual server in 511.</t>
  </si>
  <si>
    <t>Would recover the virtual server in 511.</t>
  </si>
  <si>
    <t>Would recover in 511.</t>
  </si>
  <si>
    <t>Server would be recovered in 511</t>
  </si>
  <si>
    <t>Would recover the server and application in 511.</t>
  </si>
  <si>
    <t>Would recover the Fiserv server in 511.</t>
  </si>
  <si>
    <t>Would recover this in 511.</t>
  </si>
  <si>
    <t>There is a duplicate Fed Router in 511.</t>
  </si>
  <si>
    <t>511 - extra router located here</t>
  </si>
  <si>
    <t>KBSC</t>
  </si>
  <si>
    <t>Chaska/KBSC</t>
  </si>
  <si>
    <t>Phone Router</t>
  </si>
  <si>
    <t>Would call phone provider to come with a new one and install it</t>
  </si>
  <si>
    <t>Host</t>
  </si>
  <si>
    <t>10 in the production site - if one fails, move all servers to live host</t>
  </si>
  <si>
    <t>5 in the DR center</t>
  </si>
  <si>
    <t>Create a new virtual server and install Vcenter from software There 5 hosts in 511 that can run up to 100 Vservers but it would be overloading the hosts.</t>
  </si>
  <si>
    <t xml:space="preserve">All failover to each other and can authenticate to each other.  A new one would be installed. </t>
  </si>
  <si>
    <t>Exchange</t>
  </si>
  <si>
    <t>Email Servers</t>
  </si>
  <si>
    <t>Microsoft Exchange 2013</t>
  </si>
  <si>
    <t xml:space="preserve">4 Hours </t>
  </si>
  <si>
    <t>Create a new virtual server and restore from backup - would run on the host in 511</t>
  </si>
  <si>
    <t>Phone Controller</t>
  </si>
  <si>
    <t>Routers, Firewall, Switches</t>
  </si>
  <si>
    <t>Routers, Firewall</t>
  </si>
  <si>
    <t>Routers, Firewall, Switches, Active Directory, Exchange, iSensor, TMG</t>
  </si>
  <si>
    <t>Routers, Firewall, Switches, Active Directory</t>
  </si>
  <si>
    <t>Routers, Firewall, Switches, T1 line in the office</t>
  </si>
  <si>
    <t>Routers, Firewall, Switches, Active Directory, Lync, Exchange, TMG</t>
  </si>
  <si>
    <t>Mobile Iron</t>
  </si>
  <si>
    <t>BYOD management</t>
  </si>
  <si>
    <t>Public Folders, User Folders, Team Folders  (Unstructured data)</t>
  </si>
  <si>
    <t>2 days</t>
  </si>
  <si>
    <t>Create a new virtual server, restore from backup, apply security</t>
  </si>
  <si>
    <t>4 hours</t>
  </si>
  <si>
    <t>360 View</t>
  </si>
  <si>
    <t>Sql environment</t>
  </si>
  <si>
    <t xml:space="preserve">6 Hours </t>
  </si>
  <si>
    <t>Web interface for online banking</t>
  </si>
  <si>
    <t>3 Hours</t>
  </si>
  <si>
    <t>Decision Pro</t>
  </si>
  <si>
    <t>Active Directory, and Fiserv Router</t>
  </si>
  <si>
    <t>Routers, Firewall, Switches, Active Directory, Exchange, Fiserv Router, Fed Router, Director</t>
  </si>
  <si>
    <t>Statement print server</t>
  </si>
  <si>
    <t>eStatements</t>
  </si>
  <si>
    <t>Loan Servicing</t>
  </si>
  <si>
    <t>Credit</t>
  </si>
  <si>
    <t>Risk Management</t>
  </si>
  <si>
    <t>Technology</t>
  </si>
  <si>
    <t>Solutions</t>
  </si>
  <si>
    <t>Business Banking</t>
  </si>
  <si>
    <t>Cash Mgmt Sales</t>
  </si>
  <si>
    <t>Finance &amp; Accounting</t>
  </si>
  <si>
    <t>ALL 20</t>
  </si>
  <si>
    <t>All</t>
  </si>
  <si>
    <t>Classification?</t>
  </si>
  <si>
    <t>Encoder, Chex Printer and Ink</t>
  </si>
  <si>
    <t>Pendum, Dunbar, NuSource</t>
  </si>
  <si>
    <t>Loomis, SPC, Rochester Armoured, Granite City</t>
  </si>
  <si>
    <t>Fiserv, Appraisers</t>
  </si>
  <si>
    <t xml:space="preserve">Fiserv </t>
  </si>
  <si>
    <t>Fiserv  Printer P#?</t>
  </si>
  <si>
    <t>ADP</t>
  </si>
  <si>
    <t>Wolters Kluwers</t>
  </si>
  <si>
    <t>American Bankers Association, BAI</t>
  </si>
  <si>
    <t>BVS</t>
  </si>
  <si>
    <t>Accounts Reconciliation</t>
  </si>
  <si>
    <t>Balancing accounts</t>
  </si>
  <si>
    <t>Parent Department</t>
  </si>
  <si>
    <t>Fee Based</t>
  </si>
  <si>
    <t xml:space="preserve">Finance </t>
  </si>
  <si>
    <t>Finance</t>
  </si>
  <si>
    <t>Accounting</t>
  </si>
  <si>
    <t>Audit</t>
  </si>
  <si>
    <t>Compliance</t>
  </si>
  <si>
    <t>Ticket Requests</t>
  </si>
  <si>
    <t>Dell Secureworks</t>
  </si>
  <si>
    <t>Levies, Garnishments</t>
  </si>
  <si>
    <t>OFAC validation</t>
  </si>
  <si>
    <t>Lockbox Payment</t>
  </si>
  <si>
    <t>Misc. Research Requests, IRS Tax reporting, Unclaimed property</t>
  </si>
  <si>
    <t>Collections</t>
  </si>
  <si>
    <t>HR, Marketing, Training</t>
  </si>
  <si>
    <t>Human Resources</t>
  </si>
  <si>
    <t>Search, recruiting new talent</t>
  </si>
  <si>
    <t>Talent Acquisition</t>
  </si>
  <si>
    <t>AS NEEDED</t>
  </si>
  <si>
    <t>Benefit Administration</t>
  </si>
  <si>
    <t>Staffing Management</t>
  </si>
  <si>
    <t>Image/Item Processesing</t>
  </si>
  <si>
    <t>Statement/Notice production</t>
  </si>
  <si>
    <t>Statement and Notice Paper</t>
  </si>
  <si>
    <t>SCO Balancing Form and Checklist</t>
  </si>
  <si>
    <t>Sell Services</t>
  </si>
  <si>
    <t>Marketing</t>
  </si>
  <si>
    <t>Create Advertising, Promotions</t>
  </si>
  <si>
    <t>Internet</t>
  </si>
  <si>
    <t>E-Mail/Outlook</t>
  </si>
  <si>
    <t>Adobe</t>
  </si>
  <si>
    <t>Source Capture (SCO)/Merchant Capture</t>
  </si>
  <si>
    <t>FTP</t>
  </si>
  <si>
    <t>Call Reporter Software (Y9?)</t>
  </si>
  <si>
    <t>Service Type</t>
  </si>
  <si>
    <t>In-house</t>
  </si>
  <si>
    <t>SaaS</t>
  </si>
  <si>
    <t>Website Only</t>
  </si>
  <si>
    <t>91 DAYS</t>
  </si>
  <si>
    <t>Finance and Accounting</t>
  </si>
  <si>
    <t>Executive</t>
  </si>
  <si>
    <t>31 DAYS</t>
  </si>
  <si>
    <t>32 DAYS</t>
  </si>
  <si>
    <t>ECOS Gift Card</t>
  </si>
  <si>
    <t>CRAWiz</t>
  </si>
  <si>
    <t>NetEconomy</t>
  </si>
  <si>
    <t>eTrack</t>
  </si>
  <si>
    <t>ISM - Security</t>
  </si>
  <si>
    <t>PrairieFyre</t>
  </si>
  <si>
    <t>Optimal Blue</t>
  </si>
  <si>
    <t>Branch Capture</t>
  </si>
  <si>
    <t>ConformX</t>
  </si>
  <si>
    <t>MortgageBot</t>
  </si>
  <si>
    <t>Summit</t>
  </si>
  <si>
    <t>TeleBanc</t>
  </si>
  <si>
    <t>Primo PDF</t>
  </si>
  <si>
    <t>Stars</t>
  </si>
  <si>
    <t>LaserPro</t>
  </si>
  <si>
    <t>PhoneFactor</t>
  </si>
  <si>
    <t>Pro Filing Suite</t>
  </si>
  <si>
    <t>BancWare</t>
  </si>
  <si>
    <t>CSI</t>
  </si>
  <si>
    <t>CallTrax</t>
  </si>
  <si>
    <t>CrediQuest</t>
  </si>
  <si>
    <t>DecisionPro</t>
  </si>
  <si>
    <t>MasterCard Connect</t>
  </si>
  <si>
    <t>Remote Admin (Radmin)</t>
  </si>
  <si>
    <t>TrackIT</t>
  </si>
  <si>
    <t>Kase</t>
  </si>
  <si>
    <t>SoftPro</t>
  </si>
  <si>
    <t>RPX</t>
  </si>
  <si>
    <t>Access Manager</t>
  </si>
  <si>
    <t>CheckPoint (FW)</t>
  </si>
  <si>
    <t>SecureWorks Portal</t>
  </si>
  <si>
    <t>Greenview</t>
  </si>
  <si>
    <t>Websense</t>
  </si>
  <si>
    <t>Zix</t>
  </si>
  <si>
    <t>C3 - Fiserv Support</t>
  </si>
  <si>
    <t>CheckFree - Bill Pay</t>
  </si>
  <si>
    <t>First Data</t>
  </si>
  <si>
    <t>Treasury Dept/US Savings Bond</t>
  </si>
  <si>
    <t>Cybersecurity Issues</t>
  </si>
  <si>
    <t>Dell iSensor (internal &amp; external)</t>
  </si>
  <si>
    <t>DMZ</t>
  </si>
  <si>
    <t>CheckPoint Firewall</t>
  </si>
  <si>
    <t>SecureWorks IDS/IPS</t>
  </si>
  <si>
    <t xml:space="preserve">Zix </t>
  </si>
  <si>
    <t>Firewall</t>
  </si>
  <si>
    <t>Secure E-mail</t>
  </si>
  <si>
    <t>Business Online banking</t>
  </si>
  <si>
    <t>wsFTP</t>
  </si>
  <si>
    <t>Secure file transfer</t>
  </si>
  <si>
    <t>Fed Advantage Router/Fedline VPN</t>
  </si>
  <si>
    <t>ORCC Router/ VPN</t>
  </si>
  <si>
    <t>External lockbox web access</t>
  </si>
  <si>
    <t>View Desktop</t>
  </si>
  <si>
    <t>VCENTER01</t>
  </si>
  <si>
    <t>emc Recover Point</t>
  </si>
  <si>
    <t>EMC Clarioin SAN</t>
  </si>
  <si>
    <t>Storage</t>
  </si>
  <si>
    <t>KBFS - File server</t>
  </si>
  <si>
    <t>MailboxEx**</t>
  </si>
  <si>
    <t>Mailbox storage</t>
  </si>
  <si>
    <t>Windows 2012/Microsoft Exchange 2013</t>
  </si>
  <si>
    <t>Windows 2008R2 SQL 2008 &amp; Windows 2012 SQL 2012 for Database</t>
  </si>
  <si>
    <t xml:space="preserve">Business Analytics </t>
  </si>
  <si>
    <t>Viewpoint</t>
  </si>
  <si>
    <t>Director SQL</t>
  </si>
  <si>
    <t>NETWORKERPRO01</t>
  </si>
  <si>
    <t>APPS**</t>
  </si>
  <si>
    <t>Application servers</t>
  </si>
  <si>
    <t>Centrix</t>
  </si>
  <si>
    <t>Survivability boxes  - T1 line comes in and plugs into box to allow outgoing phone calls. Mitel</t>
  </si>
  <si>
    <t>Expedite</t>
  </si>
  <si>
    <t>Prologue</t>
  </si>
  <si>
    <t>Application and SQL 2008 Database</t>
  </si>
  <si>
    <t>Oaisys</t>
  </si>
  <si>
    <t>Call Recording</t>
  </si>
  <si>
    <t>Screen Recording</t>
  </si>
  <si>
    <t>Mitel Phone System</t>
  </si>
  <si>
    <t>Verex</t>
  </si>
  <si>
    <t>Backup Frequency</t>
  </si>
  <si>
    <t>Data Recovery Program</t>
  </si>
  <si>
    <t>Local Data Recovery Option</t>
  </si>
  <si>
    <t>Recovery Point Capability</t>
  </si>
  <si>
    <t>System Recovery Strategy</t>
  </si>
  <si>
    <t>Within Production Site</t>
  </si>
  <si>
    <t>Across Site (511)</t>
  </si>
  <si>
    <t>Branch Support</t>
  </si>
  <si>
    <t>Bank Communications</t>
  </si>
  <si>
    <t>Resolution of day to day problems and questions; Banker and teller equipment support</t>
  </si>
  <si>
    <t>Code of the day, system issues, upgrades, process changes</t>
  </si>
  <si>
    <t>Tracking, reporting &amp; monitoring, account review, document scanning, core clean up, mailings</t>
  </si>
  <si>
    <t>Process &amp; Procedures</t>
  </si>
  <si>
    <t>Provide direction, unify documents</t>
  </si>
  <si>
    <t>Desktop Hardware &amp; Application Support</t>
  </si>
  <si>
    <t>Maintain hardware including phones, printers, peripherals. Perform security changes and reviews, calling for vendor support</t>
  </si>
  <si>
    <t>Platform/BPM/Expedite  (Acct Opening)</t>
  </si>
  <si>
    <t>Navigator Core (Fiserv)</t>
  </si>
  <si>
    <t>Integrated Teller</t>
  </si>
  <si>
    <t>Centrix (ACH/TMS/ARS management)</t>
  </si>
  <si>
    <t>CashWare - recycler integration</t>
  </si>
  <si>
    <t>FMSI - scheduling</t>
  </si>
  <si>
    <t>Deposit Pro</t>
  </si>
  <si>
    <t>Elan</t>
  </si>
  <si>
    <t>Ensenta - mobile deposits</t>
  </si>
  <si>
    <t>Equifax/ePort</t>
  </si>
  <si>
    <t>Exact TMS - Positive Pay</t>
  </si>
  <si>
    <t>FraudMap (GA) for wires, ACH, BOLB</t>
  </si>
  <si>
    <t>MPC Architect</t>
  </si>
  <si>
    <t>Digital Insight</t>
  </si>
  <si>
    <t>Penley (FIS/Qualfile)</t>
  </si>
  <si>
    <t>CST - Consumer Bill Pay</t>
  </si>
  <si>
    <t>Compass</t>
  </si>
  <si>
    <t>ADP Workforce</t>
  </si>
  <si>
    <t>ABG</t>
  </si>
  <si>
    <t>Milliman Benefits</t>
  </si>
  <si>
    <t>Preferred One</t>
  </si>
  <si>
    <t>Survey Gizmo</t>
  </si>
  <si>
    <t xml:space="preserve">C3 Financial </t>
  </si>
  <si>
    <t>Express Gift Card</t>
  </si>
  <si>
    <t>HSA Service center</t>
  </si>
  <si>
    <t>IRA Service center</t>
  </si>
  <si>
    <t>Client software support</t>
  </si>
  <si>
    <t>Via phone or e-mail - offer support of online banking, bill pay, etc</t>
  </si>
  <si>
    <t>Client account support</t>
  </si>
  <si>
    <t>Selling Commercial and consumer Deposit Accounts, Cash Management products and services.</t>
  </si>
  <si>
    <t>Sales of Banking Products and Services</t>
  </si>
  <si>
    <t>Account transfers, inquiries</t>
  </si>
  <si>
    <t>Ignite</t>
  </si>
  <si>
    <t>Company Website - KB.com</t>
  </si>
  <si>
    <t>Andera -Bottomline</t>
  </si>
  <si>
    <t>IVR Messaging</t>
  </si>
  <si>
    <t>Elan - OnDot</t>
  </si>
  <si>
    <t>Deluxe Checks</t>
  </si>
  <si>
    <t>Card Logics</t>
  </si>
  <si>
    <t>ClickSwitch</t>
  </si>
  <si>
    <t>Quickbooks/Quicken</t>
  </si>
  <si>
    <t>GoToAssist</t>
  </si>
  <si>
    <t>GoToMeeting</t>
  </si>
  <si>
    <t>GoToTraining</t>
  </si>
  <si>
    <t>Elan - Elavon</t>
  </si>
  <si>
    <t>Finance Works</t>
  </si>
  <si>
    <t>Live Person</t>
  </si>
  <si>
    <t>MasterCard Applepay</t>
  </si>
  <si>
    <t>eCorp (Fiserv)</t>
  </si>
  <si>
    <t>ORCC (Fiserv)</t>
  </si>
  <si>
    <t>CRIF</t>
  </si>
  <si>
    <t>Nav01</t>
  </si>
  <si>
    <t>Nav02</t>
  </si>
  <si>
    <t>Nav03</t>
  </si>
  <si>
    <t>Nav04</t>
  </si>
  <si>
    <t>Nav05</t>
  </si>
  <si>
    <t>Papercut</t>
  </si>
  <si>
    <t>PrimeSQL</t>
  </si>
  <si>
    <t>Logrhythm</t>
  </si>
  <si>
    <t>Toshibagateway</t>
  </si>
  <si>
    <t>Lync2013</t>
  </si>
  <si>
    <t>360View</t>
  </si>
  <si>
    <t>ExpediteSQL</t>
  </si>
  <si>
    <t>Rightfax</t>
  </si>
  <si>
    <t>SQLPROD0801, SQLPROD0802, SQLPROD1201, SQLPROD1202</t>
  </si>
  <si>
    <t>REDGATE</t>
  </si>
  <si>
    <t>ReportingSQL</t>
  </si>
  <si>
    <t>KBSECURITY</t>
  </si>
  <si>
    <t>KBINSIGHT</t>
  </si>
  <si>
    <t>Sharepoint</t>
  </si>
  <si>
    <t>Risk-Accounting</t>
  </si>
  <si>
    <t xml:space="preserve">Reporting </t>
  </si>
  <si>
    <t>Intuit</t>
  </si>
  <si>
    <t>Lockbox01</t>
  </si>
  <si>
    <t>MPC</t>
  </si>
  <si>
    <t>MPCWEB</t>
  </si>
  <si>
    <t>PSERVER03</t>
  </si>
  <si>
    <t>PSERVER04</t>
  </si>
  <si>
    <t>TCM</t>
  </si>
  <si>
    <t>BOLBDB2</t>
  </si>
  <si>
    <t>DISKXTENDER</t>
  </si>
  <si>
    <t>ICM</t>
  </si>
  <si>
    <t>FirstData</t>
  </si>
  <si>
    <t>ISM</t>
  </si>
  <si>
    <t>Branch Admin/Helpline Team</t>
  </si>
  <si>
    <t>Human Resources, Marketing, Training - Branch Administration</t>
  </si>
  <si>
    <t>QTRLY</t>
  </si>
  <si>
    <t>Insurance</t>
  </si>
  <si>
    <t>Investments</t>
  </si>
  <si>
    <t>Mortgage</t>
  </si>
  <si>
    <t>intranet</t>
  </si>
  <si>
    <t>external hotline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</si>
</sst>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8" x14ac:knownFonts="1">
    <font>
      <sz val="10"/>
      <name val="Arial"/>
    </font>
    <font>
      <sz val="10"/>
      <name val="Arial"/>
      <family val="2"/>
    </font>
    <font>
      <sz val="10"/>
      <name val="Arial"/>
      <family val="2"/>
    </font>
    <font>
      <sz val="9"/>
      <name val="Arial"/>
      <family val="2"/>
    </font>
    <font>
      <u/>
      <sz val="10"/>
      <color indexed="10"/>
      <name val="Arial"/>
      <family val="2"/>
    </font>
    <font>
      <u/>
      <sz val="9"/>
      <color indexed="10"/>
      <name val="Arial"/>
      <family val="2"/>
    </font>
    <font>
      <sz val="8"/>
      <name val="Arial"/>
      <family val="2"/>
    </font>
    <font>
      <b/>
      <sz val="12"/>
      <name val="Arial"/>
      <family val="2"/>
    </font>
    <font>
      <sz val="10"/>
      <color indexed="10"/>
      <name val="Arial"/>
      <family val="2"/>
    </font>
    <font>
      <b/>
      <sz val="10"/>
      <name val="Arial"/>
      <family val="2"/>
    </font>
    <font>
      <sz val="9"/>
      <name val="Arial"/>
      <family val="2"/>
    </font>
    <font>
      <sz val="10"/>
      <name val="Arial"/>
      <family val="2"/>
    </font>
    <font>
      <sz val="9"/>
      <name val="Tahoma"/>
      <family val="2"/>
    </font>
    <font>
      <sz val="10"/>
      <name val="Tahoma"/>
      <family val="2"/>
    </font>
    <font>
      <sz val="11"/>
      <name val="Arial"/>
      <family val="2"/>
    </font>
    <font>
      <b/>
      <sz val="11"/>
      <name val="Arial"/>
      <family val="2"/>
    </font>
    <font>
      <sz val="11"/>
      <color indexed="8"/>
      <name val="Calibri"/>
      <family val="2"/>
    </font>
    <font>
      <b/>
      <sz val="11"/>
      <color indexed="8"/>
      <name val="Arial"/>
      <family val="2"/>
    </font>
    <font>
      <b/>
      <i/>
      <sz val="11"/>
      <name val="Arial"/>
      <family val="2"/>
    </font>
    <font>
      <b/>
      <sz val="11"/>
      <color rgb="FF00B050"/>
      <name val="Arial"/>
      <family val="2"/>
    </font>
    <font>
      <b/>
      <sz val="8"/>
      <color indexed="81"/>
      <name val="Tahoma"/>
      <family val="2"/>
    </font>
    <font>
      <sz val="8"/>
      <color indexed="81"/>
      <name val="Tahoma"/>
      <family val="2"/>
    </font>
    <font>
      <sz val="10"/>
      <name val="Tahoma"/>
      <family val="2"/>
    </font>
    <font>
      <sz val="8"/>
      <name val="Tahoma"/>
      <family val="2"/>
    </font>
    <font>
      <b/>
      <sz val="10"/>
      <name val="Tahoma"/>
      <family val="2"/>
    </font>
    <font>
      <b/>
      <sz val="8"/>
      <name val="Tahoma"/>
      <family val="2"/>
    </font>
    <font>
      <b/>
      <sz val="10"/>
      <color rgb="FFFF0000"/>
      <name val="Arial"/>
      <family val="2"/>
    </font>
    <font>
      <b/>
      <sz val="12"/>
      <color indexed="9"/>
      <name val="Arial"/>
      <family val="2"/>
    </font>
  </fonts>
  <fills count="34">
    <fill>
      <patternFill patternType="none"/>
    </fill>
    <fill>
      <patternFill patternType="gray125"/>
    </fill>
    <fill>
      <patternFill patternType="solid">
        <fgColor indexed="44"/>
        <bgColor indexed="64"/>
      </patternFill>
    </fill>
    <fill>
      <patternFill patternType="solid">
        <fgColor indexed="18"/>
        <bgColor indexed="64"/>
      </patternFill>
    </fill>
    <fill>
      <patternFill patternType="solid">
        <fgColor rgb="FFFFFF00"/>
        <bgColor indexed="64"/>
      </patternFill>
    </fill>
    <fill>
      <patternFill patternType="solid">
        <fgColor theme="3"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rgb="FFFFC000"/>
        <bgColor indexed="64"/>
      </patternFill>
    </fill>
    <fill>
      <patternFill patternType="solid">
        <fgColor rgb="FFFFFF99"/>
        <bgColor indexed="64"/>
      </patternFill>
    </fill>
    <fill>
      <patternFill patternType="solid">
        <fgColor indexed="47"/>
        <bgColor indexed="64"/>
      </patternFill>
    </fill>
    <fill>
      <patternFill patternType="solid">
        <fgColor indexed="41"/>
        <bgColor indexed="64"/>
      </patternFill>
    </fill>
    <fill>
      <patternFill patternType="solid">
        <fgColor indexed="27"/>
        <bgColor indexed="64"/>
      </patternFill>
    </fill>
    <fill>
      <patternFill patternType="solid">
        <fgColor rgb="FFFF0000"/>
        <bgColor indexed="64"/>
      </patternFill>
    </fill>
    <fill>
      <patternFill patternType="solid">
        <fgColor rgb="FF00B050"/>
        <bgColor indexed="64"/>
      </patternFill>
    </fill>
    <fill>
      <patternFill patternType="solid">
        <fgColor indexed="43"/>
        <bgColor indexed="64"/>
      </patternFill>
    </fill>
    <fill>
      <patternFill patternType="solid">
        <fgColor indexed="42"/>
        <bgColor indexed="64"/>
      </patternFill>
    </fill>
    <fill>
      <patternFill patternType="solid">
        <fgColor theme="4" tint="0.3999450666829432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0" tint="-0.249977111117893"/>
        <bgColor indexed="64"/>
      </patternFill>
    </fill>
    <fill>
      <patternFill patternType="solid">
        <fgColor theme="4" tint="-0.249977111117893"/>
        <bgColor indexed="64"/>
      </patternFill>
    </fill>
    <fill>
      <patternFill patternType="solid">
        <fgColor theme="5" tint="-0.249977111117893"/>
        <bgColor indexed="64"/>
      </patternFill>
    </fill>
    <fill>
      <gradientFill degree="45">
        <stop position="0">
          <color theme="9" tint="0.40000610370189521"/>
        </stop>
        <stop position="1">
          <color theme="6" tint="0.40000610370189521"/>
        </stop>
      </gradientFill>
    </fill>
    <fill>
      <patternFill patternType="solid">
        <fgColor theme="5" tint="0.79998168889431442"/>
        <bgColor indexed="64"/>
      </patternFill>
    </fill>
    <fill>
      <gradientFill degree="45">
        <stop position="0">
          <color theme="5" tint="0.80001220740379042"/>
        </stop>
        <stop position="1">
          <color theme="5" tint="-0.25098422193060094"/>
        </stop>
      </gradient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8"/>
      </right>
      <top style="thin">
        <color indexed="64"/>
      </top>
      <bottom style="thin">
        <color indexed="64"/>
      </bottom>
      <diagonal/>
    </border>
    <border>
      <left/>
      <right style="medium">
        <color indexed="8"/>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medium">
        <color indexed="8"/>
      </right>
      <top/>
      <bottom style="thin">
        <color indexed="64"/>
      </bottom>
      <diagonal/>
    </border>
    <border>
      <left/>
      <right style="medium">
        <color indexed="8"/>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0" fontId="1" fillId="0" borderId="0"/>
    <xf numFmtId="0" fontId="16" fillId="0" borderId="0"/>
    <xf numFmtId="0" fontId="22" fillId="0" borderId="0"/>
  </cellStyleXfs>
  <cellXfs count="211">
    <xf numFmtId="0" fontId="0" fillId="0" borderId="0" xfId="0"/>
    <xf numFmtId="0" fontId="0" fillId="0" borderId="0" xfId="0" applyAlignment="1">
      <alignment horizontal="center"/>
    </xf>
    <xf numFmtId="0" fontId="0" fillId="0" borderId="0" xfId="0" applyAlignment="1"/>
    <xf numFmtId="0" fontId="8" fillId="0" borderId="0" xfId="0" applyFont="1" applyAlignment="1"/>
    <xf numFmtId="0" fontId="0" fillId="0" borderId="0" xfId="0" applyFill="1" applyAlignment="1"/>
    <xf numFmtId="0" fontId="8" fillId="0" borderId="0" xfId="0" applyFont="1" applyFill="1" applyAlignment="1"/>
    <xf numFmtId="0" fontId="0" fillId="0" borderId="0" xfId="0" applyAlignment="1">
      <alignment horizontal="left" wrapText="1"/>
    </xf>
    <xf numFmtId="0" fontId="1" fillId="0" borderId="0" xfId="1" applyFill="1" applyAlignment="1">
      <alignment horizontal="left" vertical="top"/>
    </xf>
    <xf numFmtId="0" fontId="9" fillId="5" borderId="1" xfId="1" applyFont="1" applyFill="1" applyBorder="1" applyAlignment="1">
      <alignment horizontal="left" vertical="top"/>
    </xf>
    <xf numFmtId="0" fontId="9" fillId="5" borderId="1" xfId="1" applyFont="1" applyFill="1" applyBorder="1" applyAlignment="1">
      <alignment horizontal="left" vertical="top" wrapText="1"/>
    </xf>
    <xf numFmtId="0" fontId="1" fillId="0" borderId="1" xfId="1" applyFont="1" applyFill="1" applyBorder="1" applyAlignment="1">
      <alignment horizontal="left" vertical="top" wrapText="1"/>
    </xf>
    <xf numFmtId="0" fontId="9" fillId="0" borderId="1" xfId="1" applyFont="1" applyFill="1" applyBorder="1" applyAlignment="1">
      <alignment horizontal="left" vertical="top" wrapText="1"/>
    </xf>
    <xf numFmtId="0" fontId="9" fillId="6" borderId="1" xfId="1" applyFont="1" applyFill="1" applyBorder="1" applyAlignment="1">
      <alignment horizontal="left" vertical="center"/>
    </xf>
    <xf numFmtId="0" fontId="9" fillId="6" borderId="1" xfId="1" applyFont="1" applyFill="1" applyBorder="1" applyAlignment="1">
      <alignment horizontal="left" vertical="top" wrapText="1"/>
    </xf>
    <xf numFmtId="0" fontId="9" fillId="0" borderId="0" xfId="1" applyFont="1" applyFill="1" applyAlignment="1">
      <alignment horizontal="left" vertical="top"/>
    </xf>
    <xf numFmtId="0" fontId="9" fillId="7" borderId="1" xfId="1" applyFont="1" applyFill="1" applyBorder="1" applyAlignment="1">
      <alignment horizontal="left" vertical="center" wrapText="1"/>
    </xf>
    <xf numFmtId="0" fontId="1" fillId="7" borderId="1" xfId="1" applyFont="1" applyFill="1" applyBorder="1" applyAlignment="1">
      <alignment horizontal="left" vertical="top" wrapText="1"/>
    </xf>
    <xf numFmtId="0" fontId="9" fillId="8" borderId="1" xfId="1" applyFont="1" applyFill="1" applyBorder="1" applyAlignment="1">
      <alignment horizontal="left" vertical="center" wrapText="1"/>
    </xf>
    <xf numFmtId="0" fontId="1" fillId="8" borderId="1" xfId="1" applyFont="1" applyFill="1" applyBorder="1" applyAlignment="1">
      <alignment horizontal="left" vertical="top" wrapText="1"/>
    </xf>
    <xf numFmtId="0" fontId="1" fillId="0" borderId="1" xfId="1" applyFont="1" applyFill="1" applyBorder="1" applyAlignment="1">
      <alignment horizontal="left" vertical="top"/>
    </xf>
    <xf numFmtId="0" fontId="9" fillId="9" borderId="1" xfId="1" applyFont="1" applyFill="1" applyBorder="1" applyAlignment="1">
      <alignment horizontal="left" vertical="center"/>
    </xf>
    <xf numFmtId="0" fontId="1" fillId="9" borderId="1" xfId="1" applyFill="1" applyBorder="1" applyAlignment="1">
      <alignment horizontal="left" vertical="top" wrapText="1"/>
    </xf>
    <xf numFmtId="0" fontId="1" fillId="0" borderId="0" xfId="1" applyAlignment="1">
      <alignment horizontal="left" vertical="top" wrapText="1"/>
    </xf>
    <xf numFmtId="0" fontId="1" fillId="0" borderId="0" xfId="1" applyAlignment="1">
      <alignment horizontal="left" vertical="top"/>
    </xf>
    <xf numFmtId="0" fontId="14" fillId="0" borderId="0" xfId="0" applyFont="1"/>
    <xf numFmtId="0" fontId="15" fillId="0" borderId="0" xfId="0" applyFont="1" applyAlignment="1">
      <alignment horizontal="left" wrapText="1"/>
    </xf>
    <xf numFmtId="0" fontId="14" fillId="0" borderId="0" xfId="0" applyFont="1" applyBorder="1" applyAlignment="1">
      <alignment horizontal="center" wrapText="1"/>
    </xf>
    <xf numFmtId="0" fontId="15" fillId="0" borderId="0" xfId="0" applyFont="1" applyAlignment="1">
      <alignment wrapText="1"/>
    </xf>
    <xf numFmtId="0" fontId="14" fillId="0" borderId="0" xfId="0" applyFont="1" applyBorder="1" applyAlignment="1">
      <alignment horizontal="left" wrapText="1"/>
    </xf>
    <xf numFmtId="0" fontId="14" fillId="0" borderId="0" xfId="0" applyFont="1" applyAlignment="1">
      <alignment wrapText="1"/>
    </xf>
    <xf numFmtId="0" fontId="14" fillId="0" borderId="0" xfId="0" applyFont="1" applyBorder="1" applyAlignment="1">
      <alignment wrapText="1"/>
    </xf>
    <xf numFmtId="0" fontId="15" fillId="2" borderId="1" xfId="0" applyFont="1" applyFill="1" applyBorder="1" applyAlignment="1">
      <alignment horizontal="center" wrapText="1"/>
    </xf>
    <xf numFmtId="0" fontId="17" fillId="10" borderId="1" xfId="2" applyFont="1" applyFill="1" applyBorder="1" applyAlignment="1">
      <alignment wrapText="1"/>
    </xf>
    <xf numFmtId="0" fontId="17" fillId="12" borderId="1" xfId="2" applyFont="1" applyFill="1" applyBorder="1" applyAlignment="1">
      <alignment wrapText="1"/>
    </xf>
    <xf numFmtId="0" fontId="18" fillId="0" borderId="0" xfId="0" applyFont="1" applyAlignment="1">
      <alignment horizontal="center"/>
    </xf>
    <xf numFmtId="0" fontId="15" fillId="0" borderId="1" xfId="0" applyFont="1" applyFill="1" applyBorder="1" applyAlignment="1">
      <alignment horizontal="center" wrapText="1"/>
    </xf>
    <xf numFmtId="0" fontId="15" fillId="13" borderId="1" xfId="0" applyFont="1" applyFill="1" applyBorder="1" applyAlignment="1">
      <alignment horizontal="center" wrapText="1"/>
    </xf>
    <xf numFmtId="0" fontId="17" fillId="0" borderId="1" xfId="2" applyFont="1" applyFill="1" applyBorder="1" applyAlignment="1">
      <alignment wrapText="1"/>
    </xf>
    <xf numFmtId="0" fontId="18" fillId="0" borderId="0" xfId="0" applyFont="1" applyFill="1" applyAlignment="1">
      <alignment horizontal="center"/>
    </xf>
    <xf numFmtId="0" fontId="15" fillId="14" borderId="1" xfId="0" applyFont="1" applyFill="1" applyBorder="1" applyAlignment="1">
      <alignment horizontal="center" wrapText="1"/>
    </xf>
    <xf numFmtId="0" fontId="15" fillId="4" borderId="1" xfId="0" applyFont="1" applyFill="1" applyBorder="1" applyAlignment="1">
      <alignment horizontal="center" wrapText="1"/>
    </xf>
    <xf numFmtId="0" fontId="14" fillId="0" borderId="0" xfId="0" applyFont="1" applyBorder="1"/>
    <xf numFmtId="0" fontId="22" fillId="0" borderId="0" xfId="3"/>
    <xf numFmtId="0" fontId="23" fillId="0" borderId="0" xfId="3" applyFont="1"/>
    <xf numFmtId="0" fontId="13" fillId="0" borderId="0" xfId="3" applyFont="1"/>
    <xf numFmtId="0" fontId="24" fillId="0" borderId="1" xfId="3" applyFont="1" applyBorder="1" applyAlignment="1">
      <alignment wrapText="1"/>
    </xf>
    <xf numFmtId="0" fontId="24" fillId="10" borderId="1" xfId="3" applyFont="1" applyFill="1" applyBorder="1" applyAlignment="1">
      <alignment horizontal="right" wrapText="1"/>
    </xf>
    <xf numFmtId="0" fontId="13" fillId="0" borderId="1" xfId="3" applyFont="1" applyBorder="1" applyAlignment="1">
      <alignment horizontal="center" vertical="top" wrapText="1"/>
    </xf>
    <xf numFmtId="0" fontId="24" fillId="15" borderId="1" xfId="3" applyFont="1" applyFill="1" applyBorder="1" applyAlignment="1">
      <alignment horizontal="right" wrapText="1"/>
    </xf>
    <xf numFmtId="0" fontId="13" fillId="15" borderId="1" xfId="3" applyFont="1" applyFill="1" applyBorder="1" applyAlignment="1">
      <alignment horizontal="center"/>
    </xf>
    <xf numFmtId="0" fontId="25" fillId="0" borderId="1" xfId="3" applyFont="1" applyBorder="1" applyAlignment="1">
      <alignment wrapText="1"/>
    </xf>
    <xf numFmtId="0" fontId="24" fillId="16" borderId="1" xfId="3" applyFont="1" applyFill="1" applyBorder="1" applyAlignment="1">
      <alignment horizontal="center" wrapText="1"/>
    </xf>
    <xf numFmtId="0" fontId="13" fillId="0" borderId="1" xfId="3" applyFont="1" applyFill="1" applyBorder="1" applyAlignment="1">
      <alignment horizontal="center" vertical="top" wrapText="1"/>
    </xf>
    <xf numFmtId="0" fontId="24" fillId="0" borderId="1" xfId="3" applyFont="1" applyFill="1" applyBorder="1" applyAlignment="1">
      <alignment horizontal="left" wrapText="1"/>
    </xf>
    <xf numFmtId="0" fontId="13" fillId="0" borderId="1" xfId="3" applyFont="1" applyFill="1" applyBorder="1" applyAlignment="1">
      <alignment horizontal="center" wrapText="1"/>
    </xf>
    <xf numFmtId="0" fontId="1" fillId="16" borderId="1" xfId="3" applyFont="1" applyFill="1" applyBorder="1" applyAlignment="1">
      <alignment horizontal="center" wrapText="1"/>
    </xf>
    <xf numFmtId="0" fontId="1" fillId="0" borderId="1" xfId="3" applyFont="1" applyBorder="1" applyAlignment="1">
      <alignment vertical="top" wrapText="1"/>
    </xf>
    <xf numFmtId="0" fontId="1" fillId="0" borderId="1" xfId="3" applyFont="1" applyBorder="1" applyAlignment="1">
      <alignment horizontal="center" vertical="top" wrapText="1"/>
    </xf>
    <xf numFmtId="0" fontId="1" fillId="0" borderId="1" xfId="3" applyFont="1" applyBorder="1" applyAlignment="1">
      <alignment horizontal="left" vertical="top" wrapText="1"/>
    </xf>
    <xf numFmtId="0" fontId="1" fillId="0" borderId="1" xfId="3" applyFont="1" applyBorder="1" applyAlignment="1">
      <alignment horizontal="center" vertical="top"/>
    </xf>
    <xf numFmtId="0" fontId="9" fillId="17" borderId="1" xfId="3" applyFont="1" applyFill="1" applyBorder="1" applyAlignment="1">
      <alignment horizontal="center" textRotation="90" wrapText="1"/>
    </xf>
    <xf numFmtId="0" fontId="9" fillId="17" borderId="1" xfId="3" applyFont="1" applyFill="1" applyBorder="1" applyAlignment="1">
      <alignment horizontal="center" wrapText="1"/>
    </xf>
    <xf numFmtId="0" fontId="1" fillId="0" borderId="1" xfId="3" applyFont="1" applyFill="1" applyBorder="1" applyAlignment="1">
      <alignment horizontal="center" vertical="top" wrapText="1"/>
    </xf>
    <xf numFmtId="0" fontId="1" fillId="0" borderId="1" xfId="3" applyFont="1" applyFill="1" applyBorder="1" applyAlignment="1">
      <alignment horizontal="left" vertical="top" wrapText="1"/>
    </xf>
    <xf numFmtId="0" fontId="1" fillId="0" borderId="1" xfId="3" applyFont="1" applyFill="1" applyBorder="1" applyAlignment="1">
      <alignment horizontal="center" vertical="top"/>
    </xf>
    <xf numFmtId="0" fontId="1" fillId="0" borderId="1" xfId="3" applyFont="1" applyFill="1" applyBorder="1" applyAlignment="1">
      <alignment vertical="top" wrapText="1"/>
    </xf>
    <xf numFmtId="0" fontId="1" fillId="0" borderId="1" xfId="3" applyFont="1" applyFill="1" applyBorder="1" applyAlignment="1">
      <alignment vertical="top"/>
    </xf>
    <xf numFmtId="0" fontId="9" fillId="4" borderId="1" xfId="1" applyFont="1" applyFill="1" applyBorder="1" applyAlignment="1">
      <alignment horizontal="center" vertical="center" wrapText="1"/>
    </xf>
    <xf numFmtId="0" fontId="9" fillId="4" borderId="1" xfId="1" applyFont="1" applyFill="1" applyBorder="1" applyAlignment="1">
      <alignment horizontal="center" vertical="center"/>
    </xf>
    <xf numFmtId="0" fontId="1" fillId="0" borderId="0" xfId="1" applyBorder="1" applyAlignment="1">
      <alignment horizontal="left" vertical="top"/>
    </xf>
    <xf numFmtId="0" fontId="1" fillId="0" borderId="0" xfId="1" applyBorder="1" applyAlignment="1">
      <alignment horizontal="left" vertical="top" wrapText="1"/>
    </xf>
    <xf numFmtId="0" fontId="1" fillId="0" borderId="0" xfId="1" applyFill="1" applyBorder="1" applyAlignment="1">
      <alignment horizontal="left" vertical="top"/>
    </xf>
    <xf numFmtId="0" fontId="13" fillId="19" borderId="1" xfId="3" applyFont="1" applyFill="1" applyBorder="1" applyAlignment="1">
      <alignment vertical="top" wrapText="1"/>
    </xf>
    <xf numFmtId="0" fontId="13" fillId="21" borderId="1" xfId="3" applyFont="1" applyFill="1" applyBorder="1" applyAlignment="1">
      <alignment vertical="top" wrapText="1"/>
    </xf>
    <xf numFmtId="0" fontId="22" fillId="0" borderId="0" xfId="3" applyAlignment="1">
      <alignment wrapText="1"/>
    </xf>
    <xf numFmtId="0" fontId="24" fillId="0" borderId="1" xfId="3" applyFont="1" applyFill="1" applyBorder="1" applyAlignment="1">
      <alignment wrapText="1"/>
    </xf>
    <xf numFmtId="0" fontId="9" fillId="18" borderId="1" xfId="3" applyFont="1" applyFill="1" applyBorder="1" applyAlignment="1">
      <alignment horizontal="center" wrapText="1"/>
    </xf>
    <xf numFmtId="0" fontId="9" fillId="18" borderId="1" xfId="3" applyFont="1" applyFill="1" applyBorder="1" applyAlignment="1">
      <alignment horizontal="center" textRotation="90" wrapText="1"/>
    </xf>
    <xf numFmtId="0" fontId="9" fillId="22" borderId="1" xfId="3" applyFont="1" applyFill="1" applyBorder="1" applyAlignment="1">
      <alignment horizontal="center" wrapText="1"/>
    </xf>
    <xf numFmtId="0" fontId="9" fillId="22" borderId="1" xfId="3" applyFont="1" applyFill="1" applyBorder="1" applyAlignment="1">
      <alignment horizontal="center" textRotation="90" wrapText="1"/>
    </xf>
    <xf numFmtId="0" fontId="9" fillId="20" borderId="1" xfId="3" applyFont="1" applyFill="1" applyBorder="1" applyAlignment="1">
      <alignment horizontal="center" wrapText="1"/>
    </xf>
    <xf numFmtId="0" fontId="9" fillId="20" borderId="1" xfId="3" applyFont="1" applyFill="1" applyBorder="1" applyAlignment="1">
      <alignment horizontal="center" textRotation="90" wrapText="1"/>
    </xf>
    <xf numFmtId="0" fontId="1" fillId="0" borderId="0" xfId="3" applyFont="1" applyBorder="1" applyAlignment="1">
      <alignment vertical="top" wrapText="1"/>
    </xf>
    <xf numFmtId="0" fontId="1" fillId="0" borderId="0" xfId="3" applyFont="1" applyBorder="1" applyAlignment="1">
      <alignment horizontal="center" vertical="top" wrapText="1"/>
    </xf>
    <xf numFmtId="0" fontId="1" fillId="0" borderId="0" xfId="3" applyFont="1" applyBorder="1" applyAlignment="1">
      <alignment horizontal="left" vertical="top" wrapText="1"/>
    </xf>
    <xf numFmtId="0" fontId="1" fillId="0" borderId="0" xfId="3" applyFont="1" applyBorder="1" applyAlignment="1">
      <alignment horizontal="center" vertical="top"/>
    </xf>
    <xf numFmtId="0" fontId="1" fillId="0" borderId="0" xfId="3" applyFont="1" applyBorder="1" applyAlignment="1">
      <alignment vertical="top"/>
    </xf>
    <xf numFmtId="0" fontId="7" fillId="0" borderId="0" xfId="3" applyFont="1" applyBorder="1" applyAlignment="1">
      <alignment vertical="top"/>
    </xf>
    <xf numFmtId="0" fontId="1" fillId="0" borderId="0" xfId="3" applyFont="1" applyBorder="1" applyAlignment="1">
      <alignment horizontal="center"/>
    </xf>
    <xf numFmtId="0" fontId="12" fillId="0" borderId="1" xfId="3" applyFont="1" applyBorder="1"/>
    <xf numFmtId="0" fontId="9" fillId="23" borderId="1" xfId="3" applyFont="1" applyFill="1" applyBorder="1" applyAlignment="1">
      <alignment horizontal="center" textRotation="90" wrapText="1"/>
    </xf>
    <xf numFmtId="0" fontId="1" fillId="4" borderId="1" xfId="3" applyFont="1" applyFill="1" applyBorder="1" applyAlignment="1">
      <alignment vertical="top" wrapText="1"/>
    </xf>
    <xf numFmtId="0" fontId="4" fillId="2" borderId="2" xfId="0" applyFont="1" applyFill="1" applyBorder="1" applyAlignment="1">
      <alignment horizontal="left" vertical="top" wrapText="1"/>
    </xf>
    <xf numFmtId="0" fontId="5" fillId="2" borderId="2" xfId="0" applyFont="1" applyFill="1" applyBorder="1" applyAlignment="1">
      <alignment horizontal="left" vertical="top" wrapText="1"/>
    </xf>
    <xf numFmtId="0" fontId="27" fillId="3" borderId="2" xfId="0" applyFont="1" applyFill="1" applyBorder="1" applyAlignment="1">
      <alignment horizontal="left" vertical="top" wrapText="1"/>
    </xf>
    <xf numFmtId="0" fontId="0" fillId="0" borderId="1" xfId="0" applyBorder="1" applyAlignment="1">
      <alignment horizontal="center" vertical="center"/>
    </xf>
    <xf numFmtId="0" fontId="11" fillId="0" borderId="1" xfId="0" applyFont="1" applyFill="1" applyBorder="1" applyAlignment="1">
      <alignment horizontal="center" vertical="center"/>
    </xf>
    <xf numFmtId="0" fontId="0" fillId="0" borderId="2" xfId="0" applyBorder="1" applyAlignment="1">
      <alignment horizontal="center" vertical="center"/>
    </xf>
    <xf numFmtId="0" fontId="11" fillId="0" borderId="2" xfId="0" applyFont="1" applyFill="1" applyBorder="1" applyAlignment="1">
      <alignment horizontal="center" vertical="center"/>
    </xf>
    <xf numFmtId="0" fontId="2" fillId="0" borderId="1" xfId="0" applyFont="1" applyBorder="1" applyAlignment="1">
      <alignment horizontal="center" vertical="center"/>
    </xf>
    <xf numFmtId="0" fontId="2" fillId="0" borderId="2"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4" xfId="0" applyFont="1" applyFill="1" applyBorder="1" applyAlignment="1">
      <alignment horizontal="center" vertical="center" wrapText="1"/>
    </xf>
    <xf numFmtId="0" fontId="1" fillId="0" borderId="4" xfId="0" applyFont="1" applyFill="1" applyBorder="1" applyAlignment="1">
      <alignment horizontal="center" vertical="center" wrapText="1"/>
    </xf>
    <xf numFmtId="0" fontId="11" fillId="0" borderId="5" xfId="0" applyFont="1" applyFill="1" applyBorder="1" applyAlignment="1">
      <alignment horizontal="center" vertical="center" wrapText="1"/>
    </xf>
    <xf numFmtId="0" fontId="11" fillId="0" borderId="6" xfId="0" applyFont="1" applyFill="1" applyBorder="1" applyAlignment="1">
      <alignment horizontal="center" vertical="center" wrapText="1"/>
    </xf>
    <xf numFmtId="0" fontId="11" fillId="0" borderId="18" xfId="0" applyFont="1" applyFill="1" applyBorder="1" applyAlignment="1">
      <alignment horizontal="center" vertical="center" wrapText="1"/>
    </xf>
    <xf numFmtId="0" fontId="11" fillId="0" borderId="19"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4"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4" xfId="0" applyFont="1" applyFill="1" applyBorder="1" applyAlignment="1">
      <alignment horizontal="center" vertical="center" wrapText="1"/>
    </xf>
    <xf numFmtId="0" fontId="10" fillId="0" borderId="4" xfId="0" applyFont="1" applyFill="1" applyBorder="1" applyAlignment="1">
      <alignment horizontal="center" vertical="center" wrapText="1"/>
    </xf>
    <xf numFmtId="0" fontId="7" fillId="23" borderId="21" xfId="3" applyFont="1" applyFill="1" applyBorder="1" applyAlignment="1">
      <alignment horizontal="left" vertical="top" wrapText="1"/>
    </xf>
    <xf numFmtId="0" fontId="1" fillId="0" borderId="0" xfId="0" applyFont="1"/>
    <xf numFmtId="0" fontId="9" fillId="0" borderId="0" xfId="0" applyFont="1"/>
    <xf numFmtId="0" fontId="9" fillId="0" borderId="23" xfId="0" applyFont="1" applyBorder="1"/>
    <xf numFmtId="0" fontId="19" fillId="13" borderId="1" xfId="0" applyFont="1" applyFill="1" applyBorder="1" applyAlignment="1">
      <alignment horizontal="center" wrapText="1"/>
    </xf>
    <xf numFmtId="0" fontId="15" fillId="24" borderId="1" xfId="0" applyFont="1" applyFill="1" applyBorder="1" applyAlignment="1">
      <alignment horizontal="center" wrapText="1"/>
    </xf>
    <xf numFmtId="0" fontId="24" fillId="26" borderId="1" xfId="3" applyFont="1" applyFill="1" applyBorder="1" applyAlignment="1">
      <alignment horizontal="left" wrapText="1"/>
    </xf>
    <xf numFmtId="0" fontId="1" fillId="24" borderId="1" xfId="3" applyFont="1" applyFill="1" applyBorder="1" applyAlignment="1">
      <alignment vertical="top" wrapText="1"/>
    </xf>
    <xf numFmtId="0" fontId="1" fillId="6" borderId="1" xfId="3" applyFont="1" applyFill="1" applyBorder="1" applyAlignment="1">
      <alignment vertical="top" wrapText="1"/>
    </xf>
    <xf numFmtId="0" fontId="1" fillId="18" borderId="1" xfId="3" applyFont="1" applyFill="1" applyBorder="1" applyAlignment="1">
      <alignment vertical="top" wrapText="1"/>
    </xf>
    <xf numFmtId="0" fontId="1" fillId="23" borderId="1" xfId="3" applyFont="1" applyFill="1" applyBorder="1" applyAlignment="1">
      <alignment vertical="top" wrapText="1"/>
    </xf>
    <xf numFmtId="0" fontId="1" fillId="25" borderId="1" xfId="3" applyFont="1" applyFill="1" applyBorder="1" applyAlignment="1">
      <alignment vertical="top" wrapText="1"/>
    </xf>
    <xf numFmtId="0" fontId="1" fillId="21" borderId="1" xfId="3" applyFont="1" applyFill="1" applyBorder="1" applyAlignment="1">
      <alignment vertical="top" wrapText="1"/>
    </xf>
    <xf numFmtId="0" fontId="1" fillId="28" borderId="1" xfId="3" applyFont="1" applyFill="1" applyBorder="1" applyAlignment="1">
      <alignment vertical="top" wrapText="1"/>
    </xf>
    <xf numFmtId="0" fontId="1" fillId="5" borderId="1" xfId="3" applyFont="1" applyFill="1" applyBorder="1" applyAlignment="1">
      <alignment vertical="top" wrapText="1"/>
    </xf>
    <xf numFmtId="0" fontId="1" fillId="29" borderId="1" xfId="3" applyFont="1" applyFill="1" applyBorder="1" applyAlignment="1">
      <alignment vertical="top" wrapText="1"/>
    </xf>
    <xf numFmtId="0" fontId="1" fillId="19" borderId="1" xfId="3" applyFont="1" applyFill="1" applyBorder="1" applyAlignment="1">
      <alignment vertical="top" wrapText="1"/>
    </xf>
    <xf numFmtId="0" fontId="13" fillId="18" borderId="1" xfId="3" applyFont="1" applyFill="1" applyBorder="1" applyAlignment="1">
      <alignment vertical="top" wrapText="1"/>
    </xf>
    <xf numFmtId="0" fontId="13" fillId="23" borderId="1" xfId="3" applyFont="1" applyFill="1" applyBorder="1" applyAlignment="1">
      <alignment vertical="top" wrapText="1"/>
    </xf>
    <xf numFmtId="0" fontId="13" fillId="24" borderId="1" xfId="3" applyFont="1" applyFill="1" applyBorder="1" applyAlignment="1">
      <alignment vertical="top" wrapText="1"/>
    </xf>
    <xf numFmtId="0" fontId="13" fillId="6" borderId="1" xfId="3" applyFont="1" applyFill="1" applyBorder="1" applyAlignment="1">
      <alignment vertical="top" wrapText="1"/>
    </xf>
    <xf numFmtId="0" fontId="13" fillId="25" borderId="1" xfId="3" applyFont="1" applyFill="1" applyBorder="1" applyAlignment="1">
      <alignment vertical="top" wrapText="1"/>
    </xf>
    <xf numFmtId="0" fontId="13" fillId="27" borderId="1" xfId="3" applyFont="1" applyFill="1" applyBorder="1" applyAlignment="1">
      <alignment vertical="top" wrapText="1"/>
    </xf>
    <xf numFmtId="0" fontId="13" fillId="28" borderId="1" xfId="3" applyFont="1" applyFill="1" applyBorder="1" applyAlignment="1">
      <alignment vertical="top" wrapText="1"/>
    </xf>
    <xf numFmtId="0" fontId="13" fillId="5" borderId="1" xfId="3" applyFont="1" applyFill="1" applyBorder="1" applyAlignment="1">
      <alignment vertical="top" wrapText="1"/>
    </xf>
    <xf numFmtId="0" fontId="13" fillId="29" borderId="1" xfId="3" applyFont="1" applyFill="1" applyBorder="1" applyAlignment="1">
      <alignment vertical="top" wrapText="1"/>
    </xf>
    <xf numFmtId="0" fontId="15" fillId="26" borderId="1" xfId="0" applyFont="1" applyFill="1" applyBorder="1" applyAlignment="1">
      <alignment horizontal="center" wrapText="1"/>
    </xf>
    <xf numFmtId="0" fontId="1" fillId="30" borderId="1" xfId="3" applyFont="1" applyFill="1" applyBorder="1" applyAlignment="1">
      <alignment vertical="top" wrapText="1"/>
    </xf>
    <xf numFmtId="0" fontId="1" fillId="32" borderId="1" xfId="3" applyFont="1" applyFill="1" applyBorder="1" applyAlignment="1">
      <alignment vertical="top" wrapText="1"/>
    </xf>
    <xf numFmtId="0" fontId="13" fillId="30" borderId="1" xfId="3" applyFont="1" applyFill="1" applyBorder="1" applyAlignment="1">
      <alignment vertical="top" wrapText="1"/>
    </xf>
    <xf numFmtId="0" fontId="13" fillId="32" borderId="1" xfId="3" applyFont="1" applyFill="1" applyBorder="1" applyAlignment="1">
      <alignment vertical="top" wrapText="1"/>
    </xf>
    <xf numFmtId="0" fontId="13" fillId="19" borderId="5" xfId="3" applyFont="1" applyFill="1" applyBorder="1" applyAlignment="1">
      <alignment vertical="top" wrapText="1"/>
    </xf>
    <xf numFmtId="0" fontId="7" fillId="0" borderId="7" xfId="0" applyFont="1" applyBorder="1" applyAlignment="1">
      <alignment horizontal="center" vertical="center" wrapText="1"/>
    </xf>
    <xf numFmtId="0" fontId="7" fillId="0" borderId="8" xfId="0" applyFont="1" applyBorder="1" applyAlignment="1">
      <alignment vertical="center" wrapText="1"/>
    </xf>
    <xf numFmtId="0" fontId="7" fillId="0" borderId="9" xfId="0" applyFont="1" applyBorder="1" applyAlignment="1">
      <alignment vertical="center" wrapText="1"/>
    </xf>
    <xf numFmtId="0" fontId="1" fillId="0" borderId="10" xfId="0" applyFont="1"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1" fillId="0" borderId="12" xfId="0" applyFont="1"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1" fillId="0" borderId="7" xfId="0" applyFont="1" applyBorder="1" applyAlignment="1">
      <alignment horizontal="left" vertical="top" wrapText="1"/>
    </xf>
    <xf numFmtId="0" fontId="1" fillId="0" borderId="8" xfId="0" applyFont="1" applyBorder="1" applyAlignment="1">
      <alignment horizontal="left" vertical="top" wrapText="1"/>
    </xf>
    <xf numFmtId="0" fontId="1" fillId="0" borderId="9" xfId="0" applyFont="1" applyBorder="1" applyAlignment="1">
      <alignment horizontal="left" vertical="top" wrapText="1"/>
    </xf>
    <xf numFmtId="0" fontId="2" fillId="0" borderId="7" xfId="0" applyFont="1" applyBorder="1" applyAlignment="1"/>
    <xf numFmtId="0" fontId="0" fillId="0" borderId="8" xfId="0" applyBorder="1" applyAlignment="1"/>
    <xf numFmtId="0" fontId="0" fillId="0" borderId="9" xfId="0" applyBorder="1" applyAlignment="1"/>
    <xf numFmtId="0" fontId="9" fillId="0" borderId="15" xfId="0" applyFont="1" applyBorder="1"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1" fillId="0" borderId="5" xfId="1" applyFont="1" applyBorder="1" applyAlignment="1">
      <alignment horizontal="left" vertical="top" wrapText="1"/>
    </xf>
    <xf numFmtId="0" fontId="1" fillId="0" borderId="20" xfId="1" applyFont="1" applyBorder="1" applyAlignment="1">
      <alignment horizontal="left" vertical="top" wrapText="1"/>
    </xf>
    <xf numFmtId="0" fontId="1" fillId="0" borderId="21" xfId="1" applyFont="1" applyBorder="1" applyAlignment="1">
      <alignment horizontal="left" vertical="top" wrapText="1"/>
    </xf>
    <xf numFmtId="0" fontId="15" fillId="10" borderId="5" xfId="0" applyFont="1" applyFill="1" applyBorder="1" applyAlignment="1">
      <alignment horizontal="center" wrapText="1"/>
    </xf>
    <xf numFmtId="0" fontId="15" fillId="10" borderId="21" xfId="0" applyFont="1" applyFill="1" applyBorder="1" applyAlignment="1">
      <alignment horizontal="center" wrapText="1"/>
    </xf>
    <xf numFmtId="0" fontId="15" fillId="11" borderId="5" xfId="0" applyFont="1" applyFill="1" applyBorder="1" applyAlignment="1">
      <alignment horizontal="center" wrapText="1"/>
    </xf>
    <xf numFmtId="0" fontId="15" fillId="11" borderId="20" xfId="0" applyFont="1" applyFill="1" applyBorder="1" applyAlignment="1">
      <alignment horizontal="center" wrapText="1"/>
    </xf>
    <xf numFmtId="0" fontId="15" fillId="11" borderId="21" xfId="0" applyFont="1" applyFill="1" applyBorder="1" applyAlignment="1">
      <alignment horizontal="center" wrapText="1"/>
    </xf>
    <xf numFmtId="0" fontId="13" fillId="33" borderId="5" xfId="3" applyFont="1" applyFill="1" applyBorder="1" applyAlignment="1">
      <alignment horizontal="center" vertical="top" wrapText="1"/>
    </xf>
    <xf numFmtId="0" fontId="13" fillId="33" borderId="20" xfId="3" applyFont="1" applyFill="1" applyBorder="1" applyAlignment="1">
      <alignment horizontal="center" vertical="top" wrapText="1"/>
    </xf>
    <xf numFmtId="0" fontId="13" fillId="33" borderId="21" xfId="3" applyFont="1" applyFill="1" applyBorder="1" applyAlignment="1">
      <alignment horizontal="center" vertical="top" wrapText="1"/>
    </xf>
    <xf numFmtId="0" fontId="13" fillId="29" borderId="22" xfId="3" applyFont="1" applyFill="1" applyBorder="1" applyAlignment="1">
      <alignment horizontal="center" vertical="top" wrapText="1"/>
    </xf>
    <xf numFmtId="0" fontId="13" fillId="29" borderId="23" xfId="3" applyFont="1" applyFill="1" applyBorder="1" applyAlignment="1">
      <alignment horizontal="center" vertical="top" wrapText="1"/>
    </xf>
    <xf numFmtId="0" fontId="13" fillId="18" borderId="22" xfId="3" applyFont="1" applyFill="1" applyBorder="1" applyAlignment="1">
      <alignment horizontal="center" vertical="top" wrapText="1"/>
    </xf>
    <xf numFmtId="0" fontId="13" fillId="18" borderId="23" xfId="3" applyFont="1" applyFill="1" applyBorder="1" applyAlignment="1">
      <alignment horizontal="center" vertical="top" wrapText="1"/>
    </xf>
    <xf numFmtId="0" fontId="13" fillId="18" borderId="24" xfId="3" applyFont="1" applyFill="1" applyBorder="1" applyAlignment="1">
      <alignment horizontal="center" vertical="top" wrapText="1"/>
    </xf>
    <xf numFmtId="0" fontId="13" fillId="27" borderId="5" xfId="3" applyFont="1" applyFill="1" applyBorder="1" applyAlignment="1">
      <alignment horizontal="center" vertical="top" wrapText="1"/>
    </xf>
    <xf numFmtId="0" fontId="13" fillId="27" borderId="20" xfId="3" applyFont="1" applyFill="1" applyBorder="1" applyAlignment="1">
      <alignment horizontal="center" vertical="top" wrapText="1"/>
    </xf>
    <xf numFmtId="0" fontId="13" fillId="27" borderId="21" xfId="3" applyFont="1" applyFill="1" applyBorder="1" applyAlignment="1">
      <alignment horizontal="center" vertical="top" wrapText="1"/>
    </xf>
    <xf numFmtId="0" fontId="13" fillId="31" borderId="5" xfId="3" applyFont="1" applyFill="1" applyBorder="1" applyAlignment="1">
      <alignment horizontal="center" vertical="top" wrapText="1"/>
    </xf>
    <xf numFmtId="0" fontId="13" fillId="31" borderId="20" xfId="3" applyFont="1" applyFill="1" applyBorder="1" applyAlignment="1">
      <alignment horizontal="center" vertical="top" wrapText="1"/>
    </xf>
    <xf numFmtId="0" fontId="13" fillId="31" borderId="21" xfId="3" applyFont="1" applyFill="1" applyBorder="1" applyAlignment="1">
      <alignment horizontal="center" vertical="top" wrapText="1"/>
    </xf>
    <xf numFmtId="0" fontId="13" fillId="21" borderId="5" xfId="3" applyFont="1" applyFill="1" applyBorder="1" applyAlignment="1">
      <alignment horizontal="center" vertical="top" wrapText="1"/>
    </xf>
    <xf numFmtId="0" fontId="13" fillId="21" borderId="20" xfId="3" applyFont="1" applyFill="1" applyBorder="1" applyAlignment="1">
      <alignment horizontal="center" vertical="top" wrapText="1"/>
    </xf>
    <xf numFmtId="0" fontId="13" fillId="24" borderId="5" xfId="3" applyFont="1" applyFill="1" applyBorder="1" applyAlignment="1">
      <alignment horizontal="center" vertical="top" wrapText="1"/>
    </xf>
    <xf numFmtId="0" fontId="13" fillId="24" borderId="20" xfId="3" applyFont="1" applyFill="1" applyBorder="1" applyAlignment="1">
      <alignment horizontal="center" vertical="top" wrapText="1"/>
    </xf>
    <xf numFmtId="0" fontId="13" fillId="28" borderId="20" xfId="3" applyFont="1" applyFill="1" applyBorder="1" applyAlignment="1">
      <alignment horizontal="center" vertical="top" wrapText="1"/>
    </xf>
    <xf numFmtId="0" fontId="13" fillId="5" borderId="5" xfId="3" applyFont="1" applyFill="1" applyBorder="1" applyAlignment="1">
      <alignment horizontal="center" vertical="top" wrapText="1"/>
    </xf>
    <xf numFmtId="0" fontId="13" fillId="5" borderId="20" xfId="3" applyFont="1" applyFill="1" applyBorder="1" applyAlignment="1">
      <alignment horizontal="center" vertical="top" wrapText="1"/>
    </xf>
    <xf numFmtId="0" fontId="13" fillId="5" borderId="21" xfId="3" applyFont="1" applyFill="1" applyBorder="1" applyAlignment="1">
      <alignment horizontal="center" vertical="top" wrapText="1"/>
    </xf>
    <xf numFmtId="0" fontId="7" fillId="20" borderId="22" xfId="3" applyFont="1" applyFill="1" applyBorder="1" applyAlignment="1">
      <alignment horizontal="left" vertical="top" wrapText="1"/>
    </xf>
    <xf numFmtId="0" fontId="7" fillId="20" borderId="23" xfId="3" applyFont="1" applyFill="1" applyBorder="1" applyAlignment="1">
      <alignment horizontal="left" vertical="top" wrapText="1"/>
    </xf>
    <xf numFmtId="0" fontId="7" fillId="23" borderId="5" xfId="3" applyFont="1" applyFill="1" applyBorder="1" applyAlignment="1">
      <alignment horizontal="left" vertical="top" wrapText="1"/>
    </xf>
    <xf numFmtId="0" fontId="7" fillId="23" borderId="20" xfId="3" applyFont="1" applyFill="1" applyBorder="1" applyAlignment="1">
      <alignment horizontal="left" vertical="top" wrapText="1"/>
    </xf>
    <xf numFmtId="0" fontId="7" fillId="23" borderId="21" xfId="3" applyFont="1" applyFill="1" applyBorder="1" applyAlignment="1">
      <alignment horizontal="left" vertical="top" wrapText="1"/>
    </xf>
    <xf numFmtId="0" fontId="7" fillId="17" borderId="5" xfId="3" applyFont="1" applyFill="1" applyBorder="1" applyAlignment="1">
      <alignment horizontal="left" vertical="top"/>
    </xf>
    <xf numFmtId="0" fontId="7" fillId="17" borderId="20" xfId="3" applyFont="1" applyFill="1" applyBorder="1" applyAlignment="1">
      <alignment horizontal="left" vertical="top"/>
    </xf>
    <xf numFmtId="0" fontId="7" fillId="17" borderId="21" xfId="3" applyFont="1" applyFill="1" applyBorder="1" applyAlignment="1">
      <alignment horizontal="left" vertical="top"/>
    </xf>
    <xf numFmtId="0" fontId="7" fillId="20" borderId="5" xfId="3" applyFont="1" applyFill="1" applyBorder="1" applyAlignment="1">
      <alignment horizontal="left" vertical="top" wrapText="1"/>
    </xf>
    <xf numFmtId="0" fontId="7" fillId="20" borderId="20" xfId="3" applyFont="1" applyFill="1" applyBorder="1" applyAlignment="1">
      <alignment horizontal="left" vertical="top" wrapText="1"/>
    </xf>
    <xf numFmtId="0" fontId="7" fillId="20" borderId="21" xfId="3" applyFont="1" applyFill="1" applyBorder="1" applyAlignment="1">
      <alignment horizontal="left" vertical="top" wrapText="1"/>
    </xf>
    <xf numFmtId="0" fontId="7" fillId="17" borderId="1" xfId="3" applyFont="1" applyFill="1" applyBorder="1" applyAlignment="1">
      <alignment horizontal="left" vertical="top" wrapText="1"/>
    </xf>
    <xf numFmtId="0" fontId="7" fillId="22" borderId="1" xfId="3" applyFont="1" applyFill="1" applyBorder="1" applyAlignment="1">
      <alignment horizontal="left" vertical="top" wrapText="1"/>
    </xf>
    <xf numFmtId="0" fontId="7" fillId="20" borderId="1" xfId="3" applyFont="1" applyFill="1" applyBorder="1" applyAlignment="1">
      <alignment horizontal="left" vertical="top" wrapText="1"/>
    </xf>
    <xf numFmtId="0" fontId="15" fillId="17" borderId="1" xfId="3" applyFont="1" applyFill="1" applyBorder="1" applyAlignment="1">
      <alignment horizontal="left" vertical="top" wrapText="1"/>
    </xf>
    <xf numFmtId="0" fontId="15" fillId="22" borderId="1" xfId="3" applyFont="1" applyFill="1" applyBorder="1" applyAlignment="1">
      <alignment horizontal="left" vertical="top" wrapText="1"/>
    </xf>
    <xf numFmtId="0" fontId="14" fillId="22" borderId="1" xfId="3" applyFont="1" applyFill="1" applyBorder="1" applyAlignment="1">
      <alignment horizontal="left" vertical="top" wrapText="1"/>
    </xf>
  </cellXfs>
  <cellStyles count="4">
    <cellStyle name="Normal" xfId="0" builtinId="0"/>
    <cellStyle name="Normal 2" xfId="1"/>
    <cellStyle name="Normal 3" xfId="3"/>
    <cellStyle name="Normal_Platforms" xfId="2"/>
  </cellStyles>
  <dxfs count="2">
    <dxf>
      <fill>
        <patternFill patternType="solid">
          <fgColor rgb="FFC4D79B"/>
          <bgColor rgb="FF000000"/>
        </patternFill>
      </fill>
    </dxf>
    <dxf>
      <fill>
        <patternFill patternType="solid">
          <fgColor rgb="FFC4D79B"/>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46"/>
  <sheetViews>
    <sheetView topLeftCell="A4" zoomScaleNormal="100" zoomScaleSheetLayoutView="100" workbookViewId="0">
      <selection activeCell="F15" sqref="F15"/>
    </sheetView>
  </sheetViews>
  <sheetFormatPr defaultColWidth="9.109375" defaultRowHeight="13.2" x14ac:dyDescent="0.25"/>
  <cols>
    <col min="1" max="1" width="13.44140625" style="1" customWidth="1"/>
    <col min="2" max="2" width="10.109375" style="1" customWidth="1"/>
    <col min="3" max="3" width="11" style="1" customWidth="1"/>
    <col min="4" max="4" width="23.44140625" style="2" customWidth="1"/>
    <col min="5" max="5" width="13.109375" style="6" customWidth="1"/>
    <col min="6" max="6" width="61.44140625" style="2" customWidth="1"/>
    <col min="7" max="7" width="9.109375" style="4"/>
    <col min="8" max="16384" width="9.109375" style="2"/>
  </cols>
  <sheetData>
    <row r="1" spans="1:6" ht="16.2" thickBot="1" x14ac:dyDescent="0.3">
      <c r="A1" s="146" t="s">
        <v>70</v>
      </c>
      <c r="B1" s="147"/>
      <c r="C1" s="147"/>
      <c r="D1" s="147"/>
      <c r="E1" s="147"/>
      <c r="F1" s="148"/>
    </row>
    <row r="2" spans="1:6" ht="25.5" customHeight="1" thickBot="1" x14ac:dyDescent="0.3">
      <c r="A2" s="155" t="s">
        <v>15</v>
      </c>
      <c r="B2" s="156"/>
      <c r="C2" s="156"/>
      <c r="D2" s="156"/>
      <c r="E2" s="156"/>
      <c r="F2" s="157"/>
    </row>
    <row r="3" spans="1:6" ht="8.25" customHeight="1" thickBot="1" x14ac:dyDescent="0.3">
      <c r="A3" s="158"/>
      <c r="B3" s="159"/>
      <c r="C3" s="159"/>
      <c r="D3" s="159"/>
      <c r="E3" s="159"/>
      <c r="F3" s="160"/>
    </row>
    <row r="4" spans="1:6" ht="16.5" customHeight="1" x14ac:dyDescent="0.25">
      <c r="A4" s="161" t="s">
        <v>16</v>
      </c>
      <c r="B4" s="162"/>
      <c r="C4" s="162"/>
      <c r="D4" s="162"/>
      <c r="E4" s="162"/>
      <c r="F4" s="163"/>
    </row>
    <row r="5" spans="1:6" ht="28.5" customHeight="1" x14ac:dyDescent="0.25">
      <c r="A5" s="149" t="s">
        <v>536</v>
      </c>
      <c r="B5" s="150"/>
      <c r="C5" s="150"/>
      <c r="D5" s="150"/>
      <c r="E5" s="150"/>
      <c r="F5" s="151"/>
    </row>
    <row r="6" spans="1:6" ht="36.75" customHeight="1" x14ac:dyDescent="0.25">
      <c r="A6" s="149" t="s">
        <v>535</v>
      </c>
      <c r="B6" s="150"/>
      <c r="C6" s="150"/>
      <c r="D6" s="150"/>
      <c r="E6" s="150"/>
      <c r="F6" s="151"/>
    </row>
    <row r="7" spans="1:6" ht="24.75" customHeight="1" x14ac:dyDescent="0.25">
      <c r="A7" s="149" t="s">
        <v>537</v>
      </c>
      <c r="B7" s="150"/>
      <c r="C7" s="150"/>
      <c r="D7" s="150"/>
      <c r="E7" s="150"/>
      <c r="F7" s="151"/>
    </row>
    <row r="8" spans="1:6" ht="28.5" customHeight="1" thickBot="1" x14ac:dyDescent="0.3">
      <c r="A8" s="152" t="s">
        <v>538</v>
      </c>
      <c r="B8" s="153"/>
      <c r="C8" s="153"/>
      <c r="D8" s="153"/>
      <c r="E8" s="153"/>
      <c r="F8" s="154"/>
    </row>
    <row r="9" spans="1:6" ht="8.25" customHeight="1" thickBot="1" x14ac:dyDescent="0.3">
      <c r="A9" s="152"/>
      <c r="B9" s="153"/>
      <c r="C9" s="153"/>
      <c r="D9" s="153"/>
      <c r="E9" s="153"/>
      <c r="F9" s="154"/>
    </row>
    <row r="10" spans="1:6" ht="54.75" customHeight="1" x14ac:dyDescent="0.25">
      <c r="A10" s="92" t="s">
        <v>65</v>
      </c>
      <c r="B10" s="92" t="s">
        <v>66</v>
      </c>
      <c r="C10" s="93" t="s">
        <v>8</v>
      </c>
      <c r="D10" s="94" t="s">
        <v>0</v>
      </c>
      <c r="E10" s="94" t="s">
        <v>32</v>
      </c>
      <c r="F10" s="94" t="s">
        <v>1</v>
      </c>
    </row>
    <row r="11" spans="1:6" ht="26.4" x14ac:dyDescent="0.25">
      <c r="A11" s="95">
        <v>5</v>
      </c>
      <c r="B11" s="95">
        <v>5</v>
      </c>
      <c r="C11" s="96">
        <f t="shared" ref="C11:C46" si="0">SUM(A11*B11)</f>
        <v>25</v>
      </c>
      <c r="D11" s="101" t="s">
        <v>25</v>
      </c>
      <c r="E11" s="102" t="s">
        <v>71</v>
      </c>
      <c r="F11" s="103" t="s">
        <v>530</v>
      </c>
    </row>
    <row r="12" spans="1:6" ht="26.4" x14ac:dyDescent="0.25">
      <c r="A12" s="95">
        <v>5</v>
      </c>
      <c r="B12" s="95">
        <v>5</v>
      </c>
      <c r="C12" s="96">
        <f t="shared" si="0"/>
        <v>25</v>
      </c>
      <c r="D12" s="101" t="s">
        <v>38</v>
      </c>
      <c r="E12" s="102" t="s">
        <v>71</v>
      </c>
      <c r="F12" s="102" t="s">
        <v>45</v>
      </c>
    </row>
    <row r="13" spans="1:6" ht="26.4" x14ac:dyDescent="0.25">
      <c r="A13" s="95">
        <v>5</v>
      </c>
      <c r="B13" s="95">
        <v>5</v>
      </c>
      <c r="C13" s="96">
        <f t="shared" si="0"/>
        <v>25</v>
      </c>
      <c r="D13" s="101" t="s">
        <v>36</v>
      </c>
      <c r="E13" s="102" t="s">
        <v>71</v>
      </c>
      <c r="F13" s="102" t="s">
        <v>44</v>
      </c>
    </row>
    <row r="14" spans="1:6" ht="26.4" x14ac:dyDescent="0.25">
      <c r="A14" s="97">
        <v>5</v>
      </c>
      <c r="B14" s="97">
        <v>5</v>
      </c>
      <c r="C14" s="96">
        <f t="shared" si="0"/>
        <v>25</v>
      </c>
      <c r="D14" s="104" t="s">
        <v>59</v>
      </c>
      <c r="E14" s="105" t="s">
        <v>71</v>
      </c>
      <c r="F14" s="105" t="s">
        <v>46</v>
      </c>
    </row>
    <row r="15" spans="1:6" ht="26.4" x14ac:dyDescent="0.25">
      <c r="A15" s="95">
        <v>5</v>
      </c>
      <c r="B15" s="95">
        <v>5</v>
      </c>
      <c r="C15" s="96">
        <f t="shared" si="0"/>
        <v>25</v>
      </c>
      <c r="D15" s="101" t="s">
        <v>61</v>
      </c>
      <c r="E15" s="102" t="s">
        <v>71</v>
      </c>
      <c r="F15" s="102" t="s">
        <v>68</v>
      </c>
    </row>
    <row r="16" spans="1:6" ht="26.4" x14ac:dyDescent="0.25">
      <c r="A16" s="95">
        <v>5</v>
      </c>
      <c r="B16" s="95">
        <v>5</v>
      </c>
      <c r="C16" s="96">
        <f t="shared" si="0"/>
        <v>25</v>
      </c>
      <c r="D16" s="101" t="s">
        <v>20</v>
      </c>
      <c r="E16" s="103" t="s">
        <v>72</v>
      </c>
      <c r="F16" s="102" t="s">
        <v>55</v>
      </c>
    </row>
    <row r="17" spans="1:7" ht="26.4" x14ac:dyDescent="0.25">
      <c r="A17" s="97">
        <v>5</v>
      </c>
      <c r="B17" s="97">
        <v>5</v>
      </c>
      <c r="C17" s="98">
        <f t="shared" si="0"/>
        <v>25</v>
      </c>
      <c r="D17" s="106" t="s">
        <v>23</v>
      </c>
      <c r="E17" s="107" t="s">
        <v>71</v>
      </c>
      <c r="F17" s="107" t="s">
        <v>51</v>
      </c>
    </row>
    <row r="18" spans="1:7" ht="26.4" x14ac:dyDescent="0.25">
      <c r="A18" s="95">
        <v>5</v>
      </c>
      <c r="B18" s="95">
        <v>3</v>
      </c>
      <c r="C18" s="96">
        <f t="shared" si="0"/>
        <v>15</v>
      </c>
      <c r="D18" s="108" t="s">
        <v>529</v>
      </c>
      <c r="E18" s="102" t="s">
        <v>71</v>
      </c>
      <c r="F18" s="103" t="s">
        <v>528</v>
      </c>
    </row>
    <row r="19" spans="1:7" ht="26.4" x14ac:dyDescent="0.25">
      <c r="A19" s="95">
        <v>3</v>
      </c>
      <c r="B19" s="95">
        <v>5</v>
      </c>
      <c r="C19" s="96">
        <f t="shared" si="0"/>
        <v>15</v>
      </c>
      <c r="D19" s="101" t="s">
        <v>2</v>
      </c>
      <c r="E19" s="102" t="s">
        <v>73</v>
      </c>
      <c r="F19" s="102" t="s">
        <v>9</v>
      </c>
    </row>
    <row r="20" spans="1:7" ht="26.4" x14ac:dyDescent="0.25">
      <c r="A20" s="99">
        <v>3</v>
      </c>
      <c r="B20" s="99">
        <v>5</v>
      </c>
      <c r="C20" s="96">
        <f t="shared" si="0"/>
        <v>15</v>
      </c>
      <c r="D20" s="101" t="s">
        <v>40</v>
      </c>
      <c r="E20" s="102" t="s">
        <v>73</v>
      </c>
      <c r="F20" s="102" t="s">
        <v>41</v>
      </c>
    </row>
    <row r="21" spans="1:7" ht="39.6" x14ac:dyDescent="0.25">
      <c r="A21" s="95">
        <v>5</v>
      </c>
      <c r="B21" s="95">
        <v>3</v>
      </c>
      <c r="C21" s="96">
        <f t="shared" si="0"/>
        <v>15</v>
      </c>
      <c r="D21" s="101" t="s">
        <v>31</v>
      </c>
      <c r="E21" s="102" t="s">
        <v>73</v>
      </c>
      <c r="F21" s="102" t="s">
        <v>53</v>
      </c>
    </row>
    <row r="22" spans="1:7" s="3" customFormat="1" ht="26.4" x14ac:dyDescent="0.25">
      <c r="A22" s="95">
        <v>5</v>
      </c>
      <c r="B22" s="95">
        <v>3</v>
      </c>
      <c r="C22" s="96">
        <f t="shared" si="0"/>
        <v>15</v>
      </c>
      <c r="D22" s="101" t="s">
        <v>10</v>
      </c>
      <c r="E22" s="102" t="s">
        <v>72</v>
      </c>
      <c r="F22" s="102" t="s">
        <v>56</v>
      </c>
      <c r="G22" s="5"/>
    </row>
    <row r="23" spans="1:7" ht="26.4" x14ac:dyDescent="0.25">
      <c r="A23" s="95">
        <v>5</v>
      </c>
      <c r="B23" s="95">
        <v>3</v>
      </c>
      <c r="C23" s="96">
        <f t="shared" si="0"/>
        <v>15</v>
      </c>
      <c r="D23" s="101" t="s">
        <v>6</v>
      </c>
      <c r="E23" s="102" t="s">
        <v>72</v>
      </c>
      <c r="F23" s="102" t="s">
        <v>57</v>
      </c>
    </row>
    <row r="24" spans="1:7" ht="26.4" x14ac:dyDescent="0.25">
      <c r="A24" s="95">
        <v>5</v>
      </c>
      <c r="B24" s="95">
        <v>3</v>
      </c>
      <c r="C24" s="96">
        <f t="shared" si="0"/>
        <v>15</v>
      </c>
      <c r="D24" s="101" t="s">
        <v>27</v>
      </c>
      <c r="E24" s="102" t="s">
        <v>72</v>
      </c>
      <c r="F24" s="102" t="s">
        <v>34</v>
      </c>
    </row>
    <row r="25" spans="1:7" ht="26.4" x14ac:dyDescent="0.25">
      <c r="A25" s="95">
        <v>5</v>
      </c>
      <c r="B25" s="95">
        <v>3</v>
      </c>
      <c r="C25" s="96">
        <f t="shared" si="0"/>
        <v>15</v>
      </c>
      <c r="D25" s="101" t="s">
        <v>12</v>
      </c>
      <c r="E25" s="102" t="s">
        <v>72</v>
      </c>
      <c r="F25" s="102" t="s">
        <v>13</v>
      </c>
    </row>
    <row r="26" spans="1:7" ht="26.4" x14ac:dyDescent="0.25">
      <c r="A26" s="95">
        <v>5</v>
      </c>
      <c r="B26" s="95">
        <v>3</v>
      </c>
      <c r="C26" s="96">
        <f t="shared" si="0"/>
        <v>15</v>
      </c>
      <c r="D26" s="101" t="s">
        <v>22</v>
      </c>
      <c r="E26" s="102" t="s">
        <v>72</v>
      </c>
      <c r="F26" s="102" t="s">
        <v>48</v>
      </c>
    </row>
    <row r="27" spans="1:7" ht="39.6" x14ac:dyDescent="0.25">
      <c r="A27" s="95">
        <v>3</v>
      </c>
      <c r="B27" s="95">
        <v>5</v>
      </c>
      <c r="C27" s="96">
        <f t="shared" si="0"/>
        <v>15</v>
      </c>
      <c r="D27" s="101" t="s">
        <v>24</v>
      </c>
      <c r="E27" s="102" t="s">
        <v>71</v>
      </c>
      <c r="F27" s="103" t="s">
        <v>67</v>
      </c>
    </row>
    <row r="28" spans="1:7" ht="26.4" x14ac:dyDescent="0.25">
      <c r="A28" s="95">
        <v>3</v>
      </c>
      <c r="B28" s="95">
        <v>5</v>
      </c>
      <c r="C28" s="96">
        <f t="shared" si="0"/>
        <v>15</v>
      </c>
      <c r="D28" s="101" t="s">
        <v>37</v>
      </c>
      <c r="E28" s="102" t="s">
        <v>71</v>
      </c>
      <c r="F28" s="102" t="s">
        <v>50</v>
      </c>
    </row>
    <row r="29" spans="1:7" ht="26.4" x14ac:dyDescent="0.25">
      <c r="A29" s="95">
        <v>3</v>
      </c>
      <c r="B29" s="95">
        <v>5</v>
      </c>
      <c r="C29" s="96">
        <f t="shared" si="0"/>
        <v>15</v>
      </c>
      <c r="D29" s="101" t="s">
        <v>11</v>
      </c>
      <c r="E29" s="102" t="s">
        <v>71</v>
      </c>
      <c r="F29" s="102" t="s">
        <v>35</v>
      </c>
    </row>
    <row r="30" spans="1:7" ht="26.4" x14ac:dyDescent="0.25">
      <c r="A30" s="97">
        <v>5</v>
      </c>
      <c r="B30" s="97">
        <v>3</v>
      </c>
      <c r="C30" s="98">
        <f t="shared" si="0"/>
        <v>15</v>
      </c>
      <c r="D30" s="106" t="s">
        <v>21</v>
      </c>
      <c r="E30" s="107" t="s">
        <v>73</v>
      </c>
      <c r="F30" s="107" t="s">
        <v>52</v>
      </c>
    </row>
    <row r="31" spans="1:7" ht="26.4" x14ac:dyDescent="0.25">
      <c r="A31" s="99">
        <v>5</v>
      </c>
      <c r="B31" s="99">
        <v>3</v>
      </c>
      <c r="C31" s="96">
        <f t="shared" si="0"/>
        <v>15</v>
      </c>
      <c r="D31" s="101" t="s">
        <v>64</v>
      </c>
      <c r="E31" s="102" t="s">
        <v>71</v>
      </c>
      <c r="F31" s="102" t="s">
        <v>42</v>
      </c>
    </row>
    <row r="32" spans="1:7" ht="26.4" x14ac:dyDescent="0.25">
      <c r="A32" s="95">
        <v>5</v>
      </c>
      <c r="B32" s="95">
        <v>3</v>
      </c>
      <c r="C32" s="96">
        <f t="shared" si="0"/>
        <v>15</v>
      </c>
      <c r="D32" s="101" t="s">
        <v>17</v>
      </c>
      <c r="E32" s="102" t="s">
        <v>73</v>
      </c>
      <c r="F32" s="102" t="s">
        <v>55</v>
      </c>
    </row>
    <row r="33" spans="1:7" ht="26.4" x14ac:dyDescent="0.25">
      <c r="A33" s="99">
        <v>5</v>
      </c>
      <c r="B33" s="99">
        <v>3</v>
      </c>
      <c r="C33" s="96">
        <f t="shared" si="0"/>
        <v>15</v>
      </c>
      <c r="D33" s="101" t="s">
        <v>5</v>
      </c>
      <c r="E33" s="102" t="s">
        <v>73</v>
      </c>
      <c r="F33" s="102" t="s">
        <v>28</v>
      </c>
    </row>
    <row r="34" spans="1:7" s="3" customFormat="1" ht="26.4" x14ac:dyDescent="0.25">
      <c r="A34" s="95">
        <v>3</v>
      </c>
      <c r="B34" s="95">
        <v>3</v>
      </c>
      <c r="C34" s="96">
        <f t="shared" si="0"/>
        <v>9</v>
      </c>
      <c r="D34" s="101" t="s">
        <v>3</v>
      </c>
      <c r="E34" s="102" t="s">
        <v>73</v>
      </c>
      <c r="F34" s="102" t="s">
        <v>43</v>
      </c>
      <c r="G34" s="5"/>
    </row>
    <row r="35" spans="1:7" ht="26.4" x14ac:dyDescent="0.25">
      <c r="A35" s="95">
        <v>3</v>
      </c>
      <c r="B35" s="95">
        <v>3</v>
      </c>
      <c r="C35" s="96">
        <f t="shared" si="0"/>
        <v>9</v>
      </c>
      <c r="D35" s="101" t="s">
        <v>7</v>
      </c>
      <c r="E35" s="102" t="s">
        <v>73</v>
      </c>
      <c r="F35" s="102" t="s">
        <v>62</v>
      </c>
    </row>
    <row r="36" spans="1:7" ht="26.4" x14ac:dyDescent="0.25">
      <c r="A36" s="95">
        <v>3</v>
      </c>
      <c r="B36" s="95">
        <v>3</v>
      </c>
      <c r="C36" s="96">
        <f t="shared" si="0"/>
        <v>9</v>
      </c>
      <c r="D36" s="101" t="s">
        <v>63</v>
      </c>
      <c r="E36" s="102" t="s">
        <v>71</v>
      </c>
      <c r="F36" s="102" t="s">
        <v>49</v>
      </c>
    </row>
    <row r="37" spans="1:7" ht="26.4" x14ac:dyDescent="0.25">
      <c r="A37" s="95">
        <v>3</v>
      </c>
      <c r="B37" s="95">
        <v>3</v>
      </c>
      <c r="C37" s="111">
        <f t="shared" si="0"/>
        <v>9</v>
      </c>
      <c r="D37" s="108" t="s">
        <v>532</v>
      </c>
      <c r="E37" s="103" t="s">
        <v>72</v>
      </c>
      <c r="F37" s="112" t="s">
        <v>534</v>
      </c>
    </row>
    <row r="38" spans="1:7" ht="26.4" x14ac:dyDescent="0.25">
      <c r="A38" s="97">
        <v>3</v>
      </c>
      <c r="B38" s="97">
        <v>3</v>
      </c>
      <c r="C38" s="98">
        <f t="shared" si="0"/>
        <v>9</v>
      </c>
      <c r="D38" s="106" t="s">
        <v>18</v>
      </c>
      <c r="E38" s="107" t="s">
        <v>73</v>
      </c>
      <c r="F38" s="107" t="s">
        <v>47</v>
      </c>
    </row>
    <row r="39" spans="1:7" x14ac:dyDescent="0.25">
      <c r="A39" s="95">
        <v>3</v>
      </c>
      <c r="B39" s="95">
        <v>3</v>
      </c>
      <c r="C39" s="96">
        <f t="shared" si="0"/>
        <v>9</v>
      </c>
      <c r="D39" s="101" t="s">
        <v>26</v>
      </c>
      <c r="E39" s="102" t="s">
        <v>26</v>
      </c>
      <c r="F39" s="102" t="s">
        <v>33</v>
      </c>
    </row>
    <row r="40" spans="1:7" ht="26.4" x14ac:dyDescent="0.25">
      <c r="A40" s="95">
        <v>1</v>
      </c>
      <c r="B40" s="95">
        <v>5</v>
      </c>
      <c r="C40" s="96">
        <f t="shared" si="0"/>
        <v>5</v>
      </c>
      <c r="D40" s="101" t="s">
        <v>19</v>
      </c>
      <c r="E40" s="102" t="s">
        <v>73</v>
      </c>
      <c r="F40" s="103" t="s">
        <v>531</v>
      </c>
    </row>
    <row r="41" spans="1:7" ht="26.4" x14ac:dyDescent="0.25">
      <c r="A41" s="95">
        <v>5</v>
      </c>
      <c r="B41" s="95">
        <v>1</v>
      </c>
      <c r="C41" s="111">
        <f t="shared" si="0"/>
        <v>5</v>
      </c>
      <c r="D41" s="108" t="s">
        <v>533</v>
      </c>
      <c r="E41" s="103" t="s">
        <v>72</v>
      </c>
      <c r="F41" s="113" t="s">
        <v>54</v>
      </c>
    </row>
    <row r="42" spans="1:7" ht="26.4" x14ac:dyDescent="0.25">
      <c r="A42" s="100">
        <v>1</v>
      </c>
      <c r="B42" s="100">
        <v>3</v>
      </c>
      <c r="C42" s="98">
        <f t="shared" si="0"/>
        <v>3</v>
      </c>
      <c r="D42" s="106" t="s">
        <v>29</v>
      </c>
      <c r="E42" s="107" t="s">
        <v>72</v>
      </c>
      <c r="F42" s="107" t="s">
        <v>14</v>
      </c>
    </row>
    <row r="43" spans="1:7" ht="26.4" x14ac:dyDescent="0.25">
      <c r="A43" s="95">
        <v>3</v>
      </c>
      <c r="B43" s="95">
        <v>1</v>
      </c>
      <c r="C43" s="96">
        <f t="shared" si="0"/>
        <v>3</v>
      </c>
      <c r="D43" s="101" t="s">
        <v>39</v>
      </c>
      <c r="E43" s="102" t="s">
        <v>71</v>
      </c>
      <c r="F43" s="102" t="s">
        <v>60</v>
      </c>
    </row>
    <row r="44" spans="1:7" ht="26.4" x14ac:dyDescent="0.25">
      <c r="A44" s="95">
        <v>3</v>
      </c>
      <c r="B44" s="95">
        <v>1</v>
      </c>
      <c r="C44" s="96">
        <f t="shared" si="0"/>
        <v>3</v>
      </c>
      <c r="D44" s="101" t="s">
        <v>4</v>
      </c>
      <c r="E44" s="102" t="s">
        <v>73</v>
      </c>
      <c r="F44" s="102" t="s">
        <v>69</v>
      </c>
    </row>
    <row r="45" spans="1:7" ht="26.4" x14ac:dyDescent="0.25">
      <c r="A45" s="95">
        <v>3</v>
      </c>
      <c r="B45" s="95">
        <v>1</v>
      </c>
      <c r="C45" s="96">
        <f t="shared" si="0"/>
        <v>3</v>
      </c>
      <c r="D45" s="101" t="s">
        <v>30</v>
      </c>
      <c r="E45" s="102" t="s">
        <v>73</v>
      </c>
      <c r="F45" s="102" t="s">
        <v>58</v>
      </c>
    </row>
    <row r="46" spans="1:7" ht="26.4" x14ac:dyDescent="0.25">
      <c r="A46" s="95">
        <v>3</v>
      </c>
      <c r="B46" s="95">
        <v>1</v>
      </c>
      <c r="C46" s="96">
        <f t="shared" si="0"/>
        <v>3</v>
      </c>
      <c r="D46" s="109" t="s">
        <v>74</v>
      </c>
      <c r="E46" s="110" t="s">
        <v>72</v>
      </c>
      <c r="F46" s="110" t="s">
        <v>75</v>
      </c>
    </row>
  </sheetData>
  <sortState ref="A11:F46">
    <sortCondition descending="1" ref="C11:C46"/>
  </sortState>
  <mergeCells count="9">
    <mergeCell ref="A1:F1"/>
    <mergeCell ref="A5:F5"/>
    <mergeCell ref="A6:F6"/>
    <mergeCell ref="A7:F7"/>
    <mergeCell ref="A9:F9"/>
    <mergeCell ref="A8:F8"/>
    <mergeCell ref="A2:F2"/>
    <mergeCell ref="A3:F3"/>
    <mergeCell ref="A4:F4"/>
  </mergeCells>
  <phoneticPr fontId="6" type="noConversion"/>
  <printOptions horizontalCentered="1"/>
  <pageMargins left="0.25" right="0.25" top="0.75" bottom="0.75" header="0.3" footer="0.3"/>
  <pageSetup scale="97" orientation="landscape" useFirstPageNumber="1" r:id="rId1"/>
  <headerFooter alignWithMargins="0">
    <oddHeader>&amp;L&amp;"Arial,Bold"&amp;14Appendix E: Threat and Probability Matrix&amp;R&amp;P of &amp;N
&amp;D</oddHeader>
    <oddFooter xml:space="preserve">&amp;L
&amp;8&amp;Z&amp;F&amp;C&amp;"Tahoma,Regular"INTERNAL USE ONLY
</oddFooter>
  </headerFooter>
  <colBreaks count="1" manualBreakCount="1">
    <brk id="6"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E20"/>
  <sheetViews>
    <sheetView zoomScaleNormal="100" workbookViewId="0">
      <pane ySplit="1" topLeftCell="A2" activePane="bottomLeft" state="frozen"/>
      <selection pane="bottomLeft" activeCell="B5" sqref="B5"/>
    </sheetView>
  </sheetViews>
  <sheetFormatPr defaultColWidth="9.109375" defaultRowHeight="13.2" x14ac:dyDescent="0.25"/>
  <cols>
    <col min="1" max="1" width="35.6640625" style="23" customWidth="1"/>
    <col min="2" max="4" width="35.6640625" style="22" customWidth="1"/>
    <col min="5" max="265" width="9.109375" style="7"/>
    <col min="266" max="16384" width="9.109375" style="23"/>
  </cols>
  <sheetData>
    <row r="1" spans="1:4" ht="18" customHeight="1" x14ac:dyDescent="0.25">
      <c r="A1" s="68" t="s">
        <v>76</v>
      </c>
      <c r="B1" s="67" t="s">
        <v>77</v>
      </c>
      <c r="C1" s="67" t="s">
        <v>78</v>
      </c>
      <c r="D1" s="67" t="s">
        <v>79</v>
      </c>
    </row>
    <row r="2" spans="1:4" ht="16.5" customHeight="1" x14ac:dyDescent="0.25">
      <c r="A2" s="8" t="s">
        <v>80</v>
      </c>
      <c r="B2" s="9"/>
      <c r="C2" s="9"/>
      <c r="D2" s="9"/>
    </row>
    <row r="3" spans="1:4" ht="26.4" x14ac:dyDescent="0.25">
      <c r="A3" s="10" t="s">
        <v>81</v>
      </c>
      <c r="B3" s="11"/>
      <c r="C3" s="11"/>
      <c r="D3" s="11"/>
    </row>
    <row r="4" spans="1:4" s="7" customFormat="1" ht="15.75" customHeight="1" x14ac:dyDescent="0.25">
      <c r="A4" s="12" t="s">
        <v>82</v>
      </c>
      <c r="B4" s="13"/>
      <c r="C4" s="13"/>
      <c r="D4" s="13"/>
    </row>
    <row r="5" spans="1:4" s="14" customFormat="1" ht="65.25" customHeight="1" x14ac:dyDescent="0.25">
      <c r="A5" s="10" t="s">
        <v>539</v>
      </c>
      <c r="B5" s="10" t="s">
        <v>600</v>
      </c>
      <c r="C5" s="10" t="s">
        <v>431</v>
      </c>
      <c r="D5" s="10" t="s">
        <v>595</v>
      </c>
    </row>
    <row r="6" spans="1:4" s="14" customFormat="1" ht="67.5" customHeight="1" x14ac:dyDescent="0.25">
      <c r="A6" s="10" t="s">
        <v>433</v>
      </c>
      <c r="B6" s="10" t="s">
        <v>432</v>
      </c>
      <c r="C6" s="10" t="s">
        <v>434</v>
      </c>
      <c r="D6" s="10" t="s">
        <v>540</v>
      </c>
    </row>
    <row r="7" spans="1:4" s="14" customFormat="1" ht="15" customHeight="1" x14ac:dyDescent="0.25">
      <c r="A7" s="15" t="s">
        <v>603</v>
      </c>
      <c r="B7" s="16"/>
      <c r="C7" s="16"/>
      <c r="D7" s="16"/>
    </row>
    <row r="8" spans="1:4" s="14" customFormat="1" ht="53.25" customHeight="1" x14ac:dyDescent="0.25">
      <c r="A8" s="10" t="s">
        <v>604</v>
      </c>
      <c r="B8" s="10"/>
      <c r="C8" s="10"/>
      <c r="D8" s="10"/>
    </row>
    <row r="9" spans="1:4" s="14" customFormat="1" ht="15" customHeight="1" x14ac:dyDescent="0.25">
      <c r="A9" s="15" t="s">
        <v>597</v>
      </c>
      <c r="B9" s="16"/>
      <c r="C9" s="16"/>
      <c r="D9" s="16"/>
    </row>
    <row r="10" spans="1:4" s="14" customFormat="1" ht="53.25" customHeight="1" x14ac:dyDescent="0.25">
      <c r="A10" s="10" t="s">
        <v>598</v>
      </c>
      <c r="B10" s="10" t="s">
        <v>599</v>
      </c>
      <c r="C10" s="10"/>
      <c r="D10" s="10"/>
    </row>
    <row r="11" spans="1:4" s="14" customFormat="1" ht="15" customHeight="1" x14ac:dyDescent="0.25">
      <c r="A11" s="15" t="s">
        <v>601</v>
      </c>
      <c r="B11" s="16"/>
      <c r="C11" s="16"/>
      <c r="D11" s="16"/>
    </row>
    <row r="12" spans="1:4" s="14" customFormat="1" ht="53.25" customHeight="1" x14ac:dyDescent="0.25">
      <c r="A12" s="10" t="s">
        <v>602</v>
      </c>
      <c r="B12" s="10"/>
      <c r="C12" s="10"/>
      <c r="D12" s="10"/>
    </row>
    <row r="13" spans="1:4" s="14" customFormat="1" ht="15" customHeight="1" x14ac:dyDescent="0.25">
      <c r="A13" s="15" t="s">
        <v>84</v>
      </c>
      <c r="B13" s="16"/>
      <c r="C13" s="16"/>
      <c r="D13" s="16"/>
    </row>
    <row r="14" spans="1:4" s="14" customFormat="1" ht="53.25" customHeight="1" x14ac:dyDescent="0.25">
      <c r="A14" s="10" t="s">
        <v>541</v>
      </c>
      <c r="B14" s="10" t="s">
        <v>435</v>
      </c>
      <c r="C14" s="10" t="s">
        <v>542</v>
      </c>
      <c r="D14" s="10" t="s">
        <v>543</v>
      </c>
    </row>
    <row r="15" spans="1:4" s="14" customFormat="1" ht="16.5" customHeight="1" x14ac:dyDescent="0.25">
      <c r="A15" s="17" t="s">
        <v>85</v>
      </c>
      <c r="B15" s="18"/>
      <c r="C15" s="18"/>
      <c r="D15" s="18"/>
    </row>
    <row r="16" spans="1:4" s="14" customFormat="1" ht="78.75" customHeight="1" x14ac:dyDescent="0.25">
      <c r="A16" s="19" t="s">
        <v>85</v>
      </c>
      <c r="B16" s="10" t="s">
        <v>596</v>
      </c>
      <c r="C16" s="10" t="s">
        <v>544</v>
      </c>
      <c r="D16" s="10" t="s">
        <v>545</v>
      </c>
    </row>
    <row r="17" spans="1:5" ht="19.5" customHeight="1" x14ac:dyDescent="0.25">
      <c r="A17" s="20" t="s">
        <v>546</v>
      </c>
      <c r="B17" s="21"/>
      <c r="C17" s="21"/>
      <c r="D17" s="21"/>
    </row>
    <row r="18" spans="1:5" ht="182.25" customHeight="1" x14ac:dyDescent="0.25">
      <c r="A18" s="164"/>
      <c r="B18" s="165"/>
      <c r="C18" s="165"/>
      <c r="D18" s="166"/>
    </row>
    <row r="19" spans="1:5" x14ac:dyDescent="0.25">
      <c r="A19" s="69"/>
      <c r="B19" s="70"/>
      <c r="C19" s="70"/>
      <c r="D19" s="70"/>
      <c r="E19" s="71"/>
    </row>
    <row r="20" spans="1:5" x14ac:dyDescent="0.25">
      <c r="A20" s="69"/>
      <c r="B20" s="70"/>
      <c r="C20" s="70"/>
      <c r="D20" s="70"/>
      <c r="E20" s="71"/>
    </row>
  </sheetData>
  <mergeCells count="1">
    <mergeCell ref="A18:D18"/>
  </mergeCells>
  <printOptions horizontalCentered="1" gridLines="1"/>
  <pageMargins left="0.33" right="0.45" top="0.66" bottom="0.55000000000000004" header="0.3" footer="0.23"/>
  <pageSetup scale="90" orientation="landscape" r:id="rId1"/>
  <headerFooter alignWithMargins="0">
    <oddHeader>&amp;L&amp;"Arial,Bold"&amp;14Data Protection Overview&amp;R&amp;P of &amp;N
&amp;D</oddHeader>
    <oddFooter xml:space="preserve">&amp;L
&amp;8&amp;Z&amp;F&amp;CINTERNAL USE ONLY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tabColor theme="7" tint="-0.249977111117893"/>
  </sheetPr>
  <dimension ref="A1:Z603"/>
  <sheetViews>
    <sheetView zoomScale="75" zoomScaleNormal="75" workbookViewId="0">
      <pane xSplit="3" ySplit="2" topLeftCell="D18" activePane="bottomRight" state="frozen"/>
      <selection pane="topRight" activeCell="D1" sqref="D1"/>
      <selection pane="bottomLeft" activeCell="A3" sqref="A3"/>
      <selection pane="bottomRight" activeCell="C80" sqref="C80"/>
    </sheetView>
  </sheetViews>
  <sheetFormatPr defaultColWidth="9.109375" defaultRowHeight="13.8" x14ac:dyDescent="0.25"/>
  <cols>
    <col min="1" max="1" width="11" style="24" customWidth="1"/>
    <col min="2" max="2" width="17.109375" style="25" customWidth="1"/>
    <col min="3" max="3" width="18.44140625" style="26" customWidth="1"/>
    <col min="4" max="4" width="15.109375" style="26" customWidth="1"/>
    <col min="5" max="5" width="10.5546875" style="25" customWidth="1"/>
    <col min="6" max="6" width="8" style="27" bestFit="1" customWidth="1"/>
    <col min="7" max="7" width="14.44140625" style="26" customWidth="1"/>
    <col min="8" max="8" width="4" style="26" customWidth="1"/>
    <col min="9" max="9" width="7.5546875" style="26" customWidth="1"/>
    <col min="10" max="10" width="20" style="25" customWidth="1"/>
    <col min="11" max="11" width="13.109375" style="25" customWidth="1"/>
    <col min="12" max="12" width="15" style="25" bestFit="1" customWidth="1"/>
    <col min="13" max="13" width="12.6640625" style="25" customWidth="1"/>
    <col min="14" max="14" width="15" style="25" bestFit="1" customWidth="1"/>
    <col min="15" max="15" width="11.5546875" style="25" customWidth="1"/>
    <col min="16" max="16" width="14.5546875" style="25" bestFit="1" customWidth="1"/>
    <col min="17" max="17" width="18.44140625" style="28" bestFit="1" customWidth="1"/>
    <col min="18" max="18" width="10.5546875" style="28" customWidth="1"/>
    <col min="19" max="19" width="17.6640625" style="29" customWidth="1"/>
    <col min="20" max="20" width="18.33203125" style="29" customWidth="1"/>
    <col min="21" max="21" width="15.6640625" style="30" customWidth="1"/>
    <col min="22" max="16384" width="9.109375" style="24"/>
  </cols>
  <sheetData>
    <row r="1" spans="1:21" ht="15" customHeight="1" x14ac:dyDescent="0.25">
      <c r="J1" s="167" t="s">
        <v>808</v>
      </c>
      <c r="K1" s="168"/>
      <c r="L1" s="169" t="s">
        <v>86</v>
      </c>
      <c r="M1" s="170"/>
      <c r="N1" s="170"/>
      <c r="O1" s="170"/>
      <c r="P1" s="171"/>
    </row>
    <row r="2" spans="1:21" s="34" customFormat="1" ht="55.2" x14ac:dyDescent="0.25">
      <c r="A2" s="31" t="s">
        <v>87</v>
      </c>
      <c r="B2" s="31" t="s">
        <v>88</v>
      </c>
      <c r="C2" s="31" t="s">
        <v>484</v>
      </c>
      <c r="D2" s="31" t="s">
        <v>483</v>
      </c>
      <c r="E2" s="31" t="s">
        <v>485</v>
      </c>
      <c r="F2" s="31" t="s">
        <v>89</v>
      </c>
      <c r="G2" s="31" t="s">
        <v>90</v>
      </c>
      <c r="H2" s="31"/>
      <c r="I2" s="31" t="s">
        <v>91</v>
      </c>
      <c r="J2" s="32" t="s">
        <v>809</v>
      </c>
      <c r="K2" s="32" t="s">
        <v>810</v>
      </c>
      <c r="L2" s="33" t="s">
        <v>804</v>
      </c>
      <c r="M2" s="33" t="s">
        <v>805</v>
      </c>
      <c r="N2" s="33" t="s">
        <v>806</v>
      </c>
      <c r="O2" s="33" t="s">
        <v>486</v>
      </c>
      <c r="P2" s="33" t="s">
        <v>807</v>
      </c>
      <c r="Q2" s="31" t="s">
        <v>487</v>
      </c>
      <c r="R2" s="31" t="s">
        <v>92</v>
      </c>
      <c r="S2" s="31" t="s">
        <v>488</v>
      </c>
      <c r="T2" s="31" t="s">
        <v>93</v>
      </c>
      <c r="U2" s="31" t="s">
        <v>489</v>
      </c>
    </row>
    <row r="3" spans="1:21" s="38" customFormat="1" ht="69" x14ac:dyDescent="0.25">
      <c r="A3" s="35"/>
      <c r="B3" s="140" t="s">
        <v>881</v>
      </c>
      <c r="C3" s="35"/>
      <c r="D3" s="35" t="s">
        <v>524</v>
      </c>
      <c r="E3" s="35" t="s">
        <v>97</v>
      </c>
      <c r="F3" s="35" t="s">
        <v>142</v>
      </c>
      <c r="G3" s="35" t="s">
        <v>654</v>
      </c>
      <c r="H3" s="39"/>
      <c r="I3" s="35"/>
      <c r="J3" s="37" t="s">
        <v>115</v>
      </c>
      <c r="K3" s="37" t="s">
        <v>616</v>
      </c>
      <c r="L3" s="37"/>
      <c r="M3" s="37"/>
      <c r="N3" s="37" t="s">
        <v>104</v>
      </c>
      <c r="O3" s="37"/>
      <c r="P3" s="37" t="s">
        <v>105</v>
      </c>
      <c r="Q3" s="35" t="s">
        <v>623</v>
      </c>
      <c r="R3" s="35">
        <v>511</v>
      </c>
      <c r="S3" s="35" t="s">
        <v>641</v>
      </c>
      <c r="T3" s="35" t="s">
        <v>421</v>
      </c>
      <c r="U3" s="35"/>
    </row>
    <row r="4" spans="1:21" s="38" customFormat="1" ht="82.8" x14ac:dyDescent="0.25">
      <c r="A4" s="35"/>
      <c r="B4" s="140" t="s">
        <v>440</v>
      </c>
      <c r="C4" s="35" t="s">
        <v>441</v>
      </c>
      <c r="D4" s="35" t="s">
        <v>524</v>
      </c>
      <c r="E4" s="35" t="s">
        <v>97</v>
      </c>
      <c r="F4" s="35" t="s">
        <v>94</v>
      </c>
      <c r="G4" s="35" t="s">
        <v>95</v>
      </c>
      <c r="H4" s="39"/>
      <c r="I4" s="35"/>
      <c r="J4" s="37" t="s">
        <v>631</v>
      </c>
      <c r="K4" s="37"/>
      <c r="L4" s="37"/>
      <c r="M4" s="37"/>
      <c r="N4" s="37"/>
      <c r="O4" s="37"/>
      <c r="P4" s="37"/>
      <c r="Q4" s="35" t="s">
        <v>444</v>
      </c>
      <c r="R4" s="35" t="s">
        <v>98</v>
      </c>
      <c r="S4" s="35" t="s">
        <v>638</v>
      </c>
      <c r="T4" s="35" t="s">
        <v>420</v>
      </c>
      <c r="U4" s="35"/>
    </row>
    <row r="5" spans="1:21" s="38" customFormat="1" ht="55.2" x14ac:dyDescent="0.25">
      <c r="A5" s="35"/>
      <c r="B5" s="140" t="s">
        <v>792</v>
      </c>
      <c r="C5" s="35" t="s">
        <v>793</v>
      </c>
      <c r="D5" s="35" t="s">
        <v>524</v>
      </c>
      <c r="E5" s="35" t="s">
        <v>97</v>
      </c>
      <c r="F5" s="35" t="s">
        <v>142</v>
      </c>
      <c r="G5" s="35" t="s">
        <v>142</v>
      </c>
      <c r="H5" s="39"/>
      <c r="I5" s="35"/>
      <c r="J5" s="37"/>
      <c r="K5" s="37"/>
      <c r="L5" s="37"/>
      <c r="M5" s="37"/>
      <c r="N5" s="37" t="s">
        <v>104</v>
      </c>
      <c r="O5" s="37"/>
      <c r="P5" s="37"/>
      <c r="Q5" s="35" t="s">
        <v>623</v>
      </c>
      <c r="R5" s="35"/>
      <c r="S5" s="35" t="s">
        <v>641</v>
      </c>
      <c r="T5" s="35" t="s">
        <v>421</v>
      </c>
      <c r="U5" s="35"/>
    </row>
    <row r="6" spans="1:21" s="38" customFormat="1" x14ac:dyDescent="0.25">
      <c r="A6" s="35"/>
      <c r="B6" s="140" t="s">
        <v>899</v>
      </c>
      <c r="C6" s="35"/>
      <c r="D6" s="35"/>
      <c r="E6" s="35"/>
      <c r="F6" s="35"/>
      <c r="G6" s="35"/>
      <c r="H6" s="39"/>
      <c r="I6" s="35"/>
      <c r="J6" s="37"/>
      <c r="K6" s="37"/>
      <c r="L6" s="37"/>
      <c r="M6" s="37"/>
      <c r="N6" s="37"/>
      <c r="O6" s="37"/>
      <c r="P6" s="37"/>
      <c r="Q6" s="35"/>
      <c r="R6" s="35"/>
      <c r="S6" s="35"/>
      <c r="T6" s="35"/>
      <c r="U6" s="35"/>
    </row>
    <row r="7" spans="1:21" s="38" customFormat="1" ht="41.4" x14ac:dyDescent="0.25">
      <c r="A7" s="35"/>
      <c r="B7" s="140" t="s">
        <v>788</v>
      </c>
      <c r="C7" s="35" t="s">
        <v>789</v>
      </c>
      <c r="D7" s="35" t="s">
        <v>524</v>
      </c>
      <c r="E7" s="35" t="s">
        <v>97</v>
      </c>
      <c r="F7" s="35" t="s">
        <v>94</v>
      </c>
      <c r="G7" s="35"/>
      <c r="H7" s="39"/>
      <c r="I7" s="35"/>
      <c r="J7" s="37"/>
      <c r="K7" s="37"/>
      <c r="L7" s="37"/>
      <c r="M7" s="37"/>
      <c r="N7" s="37"/>
      <c r="O7" s="37"/>
      <c r="P7" s="37"/>
      <c r="Q7" s="35"/>
      <c r="R7" s="35"/>
      <c r="S7" s="35"/>
      <c r="T7" s="35"/>
      <c r="U7" s="35"/>
    </row>
    <row r="8" spans="1:21" s="38" customFormat="1" ht="55.2" x14ac:dyDescent="0.25">
      <c r="A8" s="35"/>
      <c r="B8" s="140" t="s">
        <v>772</v>
      </c>
      <c r="C8" s="35" t="s">
        <v>653</v>
      </c>
      <c r="D8" s="35" t="s">
        <v>524</v>
      </c>
      <c r="E8" s="35" t="s">
        <v>97</v>
      </c>
      <c r="F8" s="35" t="s">
        <v>136</v>
      </c>
      <c r="G8" s="35" t="s">
        <v>95</v>
      </c>
      <c r="H8" s="39"/>
      <c r="I8" s="35"/>
      <c r="J8" s="37" t="s">
        <v>139</v>
      </c>
      <c r="K8" s="37" t="s">
        <v>617</v>
      </c>
      <c r="L8" s="37"/>
      <c r="M8" s="37"/>
      <c r="N8" s="37" t="s">
        <v>140</v>
      </c>
      <c r="O8" s="37"/>
      <c r="P8" s="37" t="s">
        <v>108</v>
      </c>
      <c r="Q8" s="35" t="s">
        <v>623</v>
      </c>
      <c r="R8" s="35">
        <v>511</v>
      </c>
      <c r="S8" s="35" t="s">
        <v>641</v>
      </c>
      <c r="T8" s="35" t="s">
        <v>421</v>
      </c>
      <c r="U8" s="35"/>
    </row>
    <row r="9" spans="1:21" s="38" customFormat="1" ht="69" x14ac:dyDescent="0.25">
      <c r="A9" s="35"/>
      <c r="B9" s="140" t="s">
        <v>794</v>
      </c>
      <c r="C9" s="35"/>
      <c r="D9" s="35" t="s">
        <v>524</v>
      </c>
      <c r="E9" s="35" t="s">
        <v>97</v>
      </c>
      <c r="F9" s="35" t="s">
        <v>94</v>
      </c>
      <c r="G9" s="35" t="s">
        <v>649</v>
      </c>
      <c r="H9" s="40"/>
      <c r="I9" s="35"/>
      <c r="J9" s="37" t="s">
        <v>115</v>
      </c>
      <c r="K9" s="37" t="s">
        <v>615</v>
      </c>
      <c r="L9" s="37"/>
      <c r="M9" s="37"/>
      <c r="N9" s="37" t="s">
        <v>104</v>
      </c>
      <c r="O9" s="37"/>
      <c r="P9" s="37" t="s">
        <v>105</v>
      </c>
      <c r="Q9" s="35" t="s">
        <v>623</v>
      </c>
      <c r="R9" s="35">
        <v>511</v>
      </c>
      <c r="S9" s="35" t="s">
        <v>641</v>
      </c>
      <c r="T9" s="35" t="s">
        <v>421</v>
      </c>
      <c r="U9" s="35"/>
    </row>
    <row r="10" spans="1:21" s="38" customFormat="1" ht="27.6" x14ac:dyDescent="0.25">
      <c r="A10" s="35"/>
      <c r="B10" s="140" t="s">
        <v>767</v>
      </c>
      <c r="C10" s="35" t="s">
        <v>770</v>
      </c>
      <c r="D10" s="35"/>
      <c r="E10" s="35" t="s">
        <v>97</v>
      </c>
      <c r="F10" s="35" t="s">
        <v>94</v>
      </c>
      <c r="G10" s="35" t="s">
        <v>132</v>
      </c>
      <c r="H10" s="39"/>
      <c r="I10" s="35"/>
      <c r="J10" s="37"/>
      <c r="K10" s="37"/>
      <c r="L10" s="37"/>
      <c r="M10" s="37"/>
      <c r="N10" s="37"/>
      <c r="O10" s="37"/>
      <c r="P10" s="37"/>
      <c r="Q10" s="35" t="s">
        <v>623</v>
      </c>
      <c r="R10" s="35">
        <v>511</v>
      </c>
      <c r="S10" s="35" t="s">
        <v>639</v>
      </c>
      <c r="T10" s="35" t="s">
        <v>109</v>
      </c>
      <c r="U10" s="35"/>
    </row>
    <row r="11" spans="1:21" s="38" customFormat="1" ht="41.4" x14ac:dyDescent="0.25">
      <c r="A11" s="35"/>
      <c r="B11" s="140" t="s">
        <v>605</v>
      </c>
      <c r="C11" s="35" t="s">
        <v>606</v>
      </c>
      <c r="D11" s="35"/>
      <c r="E11" s="35" t="s">
        <v>106</v>
      </c>
      <c r="F11" s="35" t="s">
        <v>94</v>
      </c>
      <c r="G11" s="35" t="s">
        <v>95</v>
      </c>
      <c r="H11" s="36"/>
      <c r="I11" s="35"/>
      <c r="J11" s="37" t="s">
        <v>607</v>
      </c>
      <c r="K11" s="37" t="s">
        <v>610</v>
      </c>
      <c r="L11" s="37"/>
      <c r="M11" s="37"/>
      <c r="N11" s="37"/>
      <c r="O11" s="37"/>
      <c r="P11" s="37"/>
      <c r="Q11" s="35" t="s">
        <v>624</v>
      </c>
      <c r="R11" s="35"/>
      <c r="S11" s="35" t="s">
        <v>96</v>
      </c>
      <c r="T11" s="35" t="s">
        <v>109</v>
      </c>
      <c r="U11" s="35"/>
    </row>
    <row r="12" spans="1:21" s="38" customFormat="1" ht="55.2" x14ac:dyDescent="0.25">
      <c r="A12" s="35"/>
      <c r="B12" s="140" t="s">
        <v>506</v>
      </c>
      <c r="C12" s="35" t="s">
        <v>508</v>
      </c>
      <c r="D12" s="35" t="s">
        <v>507</v>
      </c>
      <c r="E12" s="35" t="s">
        <v>106</v>
      </c>
      <c r="F12" s="35" t="s">
        <v>94</v>
      </c>
      <c r="G12" s="35" t="s">
        <v>95</v>
      </c>
      <c r="H12" s="39"/>
      <c r="I12" s="35"/>
      <c r="J12" s="37" t="s">
        <v>509</v>
      </c>
      <c r="K12" s="37" t="s">
        <v>510</v>
      </c>
      <c r="L12" s="37"/>
      <c r="M12" s="37"/>
      <c r="N12" s="37" t="s">
        <v>108</v>
      </c>
      <c r="O12" s="37"/>
      <c r="P12" s="37" t="s">
        <v>109</v>
      </c>
      <c r="Q12" s="35" t="s">
        <v>444</v>
      </c>
      <c r="R12" s="35" t="s">
        <v>444</v>
      </c>
      <c r="S12" s="35" t="s">
        <v>511</v>
      </c>
      <c r="T12" s="35" t="s">
        <v>109</v>
      </c>
      <c r="U12" s="35"/>
    </row>
    <row r="13" spans="1:21" s="38" customFormat="1" ht="110.4" x14ac:dyDescent="0.25">
      <c r="A13" s="119"/>
      <c r="B13" s="119" t="s">
        <v>154</v>
      </c>
      <c r="C13" s="119" t="s">
        <v>155</v>
      </c>
      <c r="D13" s="35" t="s">
        <v>527</v>
      </c>
      <c r="E13" s="35" t="s">
        <v>106</v>
      </c>
      <c r="F13" s="35" t="s">
        <v>156</v>
      </c>
      <c r="G13" s="35" t="s">
        <v>103</v>
      </c>
      <c r="H13" s="40"/>
      <c r="I13" s="35"/>
      <c r="J13" s="37" t="s">
        <v>157</v>
      </c>
      <c r="K13" s="37" t="s">
        <v>616</v>
      </c>
      <c r="L13" s="37"/>
      <c r="M13" s="37"/>
      <c r="N13" s="37" t="s">
        <v>108</v>
      </c>
      <c r="O13" s="37"/>
      <c r="P13" s="37" t="s">
        <v>109</v>
      </c>
      <c r="Q13" s="35" t="s">
        <v>623</v>
      </c>
      <c r="R13" s="35">
        <v>511</v>
      </c>
      <c r="S13" s="35" t="s">
        <v>494</v>
      </c>
      <c r="T13" s="35" t="s">
        <v>421</v>
      </c>
      <c r="U13" s="35"/>
    </row>
    <row r="14" spans="1:21" s="38" customFormat="1" ht="69" x14ac:dyDescent="0.25">
      <c r="A14" s="35"/>
      <c r="B14" s="140" t="s">
        <v>655</v>
      </c>
      <c r="C14" s="35"/>
      <c r="D14" s="35"/>
      <c r="E14" s="35" t="s">
        <v>97</v>
      </c>
      <c r="F14" s="35" t="s">
        <v>142</v>
      </c>
      <c r="G14" s="35" t="s">
        <v>95</v>
      </c>
      <c r="H14" s="40"/>
      <c r="I14" s="35"/>
      <c r="J14" s="37" t="s">
        <v>436</v>
      </c>
      <c r="K14" s="37" t="s">
        <v>616</v>
      </c>
      <c r="L14" s="37"/>
      <c r="M14" s="37"/>
      <c r="N14" s="37" t="s">
        <v>104</v>
      </c>
      <c r="O14" s="37"/>
      <c r="P14" s="37" t="s">
        <v>105</v>
      </c>
      <c r="Q14" s="35" t="s">
        <v>623</v>
      </c>
      <c r="R14" s="35">
        <v>511</v>
      </c>
      <c r="S14" s="35"/>
      <c r="T14" s="35" t="s">
        <v>421</v>
      </c>
      <c r="U14" s="35"/>
    </row>
    <row r="15" spans="1:21" s="38" customFormat="1" ht="41.4" x14ac:dyDescent="0.25">
      <c r="A15" s="35"/>
      <c r="B15" s="140" t="s">
        <v>765</v>
      </c>
      <c r="C15" s="35" t="s">
        <v>768</v>
      </c>
      <c r="D15" s="35"/>
      <c r="E15" s="35" t="s">
        <v>97</v>
      </c>
      <c r="F15" s="35" t="s">
        <v>94</v>
      </c>
      <c r="G15" s="35" t="s">
        <v>94</v>
      </c>
      <c r="H15" s="39"/>
      <c r="I15" s="35"/>
      <c r="J15" s="37"/>
      <c r="K15" s="37"/>
      <c r="L15" s="37"/>
      <c r="M15" s="37"/>
      <c r="N15" s="37"/>
      <c r="O15" s="37"/>
      <c r="P15" s="37"/>
      <c r="Q15" s="35" t="s">
        <v>623</v>
      </c>
      <c r="R15" s="35"/>
      <c r="S15" s="35" t="s">
        <v>96</v>
      </c>
      <c r="T15" s="35" t="s">
        <v>420</v>
      </c>
      <c r="U15" s="35"/>
    </row>
    <row r="16" spans="1:21" s="38" customFormat="1" ht="110.4" x14ac:dyDescent="0.25">
      <c r="A16" s="35"/>
      <c r="B16" s="140" t="s">
        <v>143</v>
      </c>
      <c r="C16" s="35" t="s">
        <v>144</v>
      </c>
      <c r="D16" s="35" t="s">
        <v>524</v>
      </c>
      <c r="E16" s="35" t="s">
        <v>97</v>
      </c>
      <c r="F16" s="35" t="s">
        <v>142</v>
      </c>
      <c r="G16" s="35" t="s">
        <v>136</v>
      </c>
      <c r="H16" s="40"/>
      <c r="I16" s="35"/>
      <c r="J16" s="37" t="s">
        <v>115</v>
      </c>
      <c r="K16" s="37" t="s">
        <v>618</v>
      </c>
      <c r="L16" s="37"/>
      <c r="M16" s="37"/>
      <c r="N16" s="37" t="s">
        <v>104</v>
      </c>
      <c r="O16" s="37"/>
      <c r="P16" s="37" t="s">
        <v>105</v>
      </c>
      <c r="Q16" s="35" t="s">
        <v>623</v>
      </c>
      <c r="R16" s="35">
        <v>511</v>
      </c>
      <c r="S16" s="35" t="s">
        <v>442</v>
      </c>
      <c r="T16" s="35" t="s">
        <v>421</v>
      </c>
      <c r="U16" s="35"/>
    </row>
    <row r="17" spans="1:21" s="38" customFormat="1" ht="110.4" x14ac:dyDescent="0.25">
      <c r="A17" s="35"/>
      <c r="B17" s="140" t="s">
        <v>790</v>
      </c>
      <c r="C17" s="35" t="s">
        <v>144</v>
      </c>
      <c r="D17" s="35" t="s">
        <v>524</v>
      </c>
      <c r="E17" s="35" t="s">
        <v>97</v>
      </c>
      <c r="F17" s="35" t="s">
        <v>142</v>
      </c>
      <c r="G17" s="35" t="s">
        <v>136</v>
      </c>
      <c r="H17" s="40"/>
      <c r="I17" s="35"/>
      <c r="J17" s="37" t="s">
        <v>115</v>
      </c>
      <c r="K17" s="37" t="s">
        <v>618</v>
      </c>
      <c r="L17" s="37"/>
      <c r="M17" s="37"/>
      <c r="N17" s="37" t="s">
        <v>104</v>
      </c>
      <c r="O17" s="37"/>
      <c r="P17" s="37" t="s">
        <v>105</v>
      </c>
      <c r="Q17" s="35" t="s">
        <v>623</v>
      </c>
      <c r="R17" s="35">
        <v>511</v>
      </c>
      <c r="S17" s="35" t="s">
        <v>442</v>
      </c>
      <c r="T17" s="35" t="s">
        <v>421</v>
      </c>
      <c r="U17" s="35"/>
    </row>
    <row r="18" spans="1:21" s="38" customFormat="1" x14ac:dyDescent="0.25">
      <c r="A18" s="35"/>
      <c r="B18" s="140" t="s">
        <v>900</v>
      </c>
      <c r="C18" s="35"/>
      <c r="D18" s="35"/>
      <c r="E18" s="35"/>
      <c r="F18" s="35"/>
      <c r="G18" s="35"/>
      <c r="H18" s="39"/>
      <c r="I18" s="35"/>
      <c r="J18" s="37"/>
      <c r="K18" s="37"/>
      <c r="L18" s="37"/>
      <c r="M18" s="37"/>
      <c r="N18" s="37"/>
      <c r="O18" s="37"/>
      <c r="P18" s="37"/>
      <c r="Q18" s="35"/>
      <c r="R18" s="35"/>
      <c r="S18" s="35"/>
      <c r="T18" s="35"/>
      <c r="U18" s="35"/>
    </row>
    <row r="19" spans="1:21" s="38" customFormat="1" ht="55.2" x14ac:dyDescent="0.25">
      <c r="A19" s="35"/>
      <c r="B19" s="140" t="s">
        <v>766</v>
      </c>
      <c r="C19" s="35" t="s">
        <v>504</v>
      </c>
      <c r="D19" s="35" t="s">
        <v>524</v>
      </c>
      <c r="E19" s="35" t="s">
        <v>97</v>
      </c>
      <c r="F19" s="35" t="s">
        <v>94</v>
      </c>
      <c r="G19" s="35" t="s">
        <v>94</v>
      </c>
      <c r="H19" s="39"/>
      <c r="I19" s="35"/>
      <c r="J19" s="37" t="s">
        <v>505</v>
      </c>
      <c r="K19" s="37" t="s">
        <v>612</v>
      </c>
      <c r="L19" s="37"/>
      <c r="M19" s="37"/>
      <c r="N19" s="37"/>
      <c r="O19" s="37"/>
      <c r="P19" s="37"/>
      <c r="Q19" s="35" t="s">
        <v>613</v>
      </c>
      <c r="R19" s="35"/>
      <c r="S19" s="35" t="s">
        <v>96</v>
      </c>
      <c r="T19" s="35" t="s">
        <v>420</v>
      </c>
      <c r="U19" s="35"/>
    </row>
    <row r="20" spans="1:21" s="38" customFormat="1" ht="69" x14ac:dyDescent="0.25">
      <c r="A20" s="35"/>
      <c r="B20" s="140" t="s">
        <v>519</v>
      </c>
      <c r="C20" s="35" t="s">
        <v>521</v>
      </c>
      <c r="D20" s="35" t="s">
        <v>520</v>
      </c>
      <c r="E20" s="35" t="s">
        <v>99</v>
      </c>
      <c r="F20" s="35" t="s">
        <v>142</v>
      </c>
      <c r="G20" s="35" t="s">
        <v>100</v>
      </c>
      <c r="H20" s="40"/>
      <c r="I20" s="35"/>
      <c r="J20" s="37" t="s">
        <v>522</v>
      </c>
      <c r="K20" s="37" t="s">
        <v>522</v>
      </c>
      <c r="L20" s="37"/>
      <c r="M20" s="37"/>
      <c r="N20" s="37"/>
      <c r="O20" s="37"/>
      <c r="P20" s="37"/>
      <c r="Q20" s="35" t="s">
        <v>444</v>
      </c>
      <c r="R20" s="35" t="s">
        <v>444</v>
      </c>
      <c r="S20" s="35" t="s">
        <v>523</v>
      </c>
      <c r="T20" s="35" t="s">
        <v>420</v>
      </c>
      <c r="U20" s="35"/>
    </row>
    <row r="21" spans="1:21" s="38" customFormat="1" ht="27.6" x14ac:dyDescent="0.25">
      <c r="A21" s="35"/>
      <c r="B21" s="140" t="s">
        <v>781</v>
      </c>
      <c r="C21" s="35" t="s">
        <v>782</v>
      </c>
      <c r="D21" s="35"/>
      <c r="E21" s="35" t="s">
        <v>97</v>
      </c>
      <c r="F21" s="35" t="s">
        <v>94</v>
      </c>
      <c r="G21" s="35" t="s">
        <v>132</v>
      </c>
      <c r="H21" s="39"/>
      <c r="I21" s="35"/>
      <c r="J21" s="37"/>
      <c r="K21" s="37"/>
      <c r="L21" s="37"/>
      <c r="M21" s="37"/>
      <c r="N21" s="37"/>
      <c r="O21" s="37"/>
      <c r="P21" s="37"/>
      <c r="Q21" s="35" t="s">
        <v>623</v>
      </c>
      <c r="R21" s="35">
        <v>511</v>
      </c>
      <c r="S21" s="35" t="s">
        <v>639</v>
      </c>
      <c r="T21" s="35" t="s">
        <v>109</v>
      </c>
      <c r="U21" s="35"/>
    </row>
    <row r="22" spans="1:21" s="38" customFormat="1" ht="27.6" x14ac:dyDescent="0.25">
      <c r="A22" s="35"/>
      <c r="B22" s="140" t="s">
        <v>780</v>
      </c>
      <c r="C22" s="35">
        <v>2</v>
      </c>
      <c r="D22" s="35"/>
      <c r="E22" s="35" t="s">
        <v>97</v>
      </c>
      <c r="F22" s="35" t="s">
        <v>94</v>
      </c>
      <c r="G22" s="35" t="s">
        <v>132</v>
      </c>
      <c r="H22" s="39"/>
      <c r="I22" s="35"/>
      <c r="J22" s="37"/>
      <c r="K22" s="37"/>
      <c r="L22" s="37"/>
      <c r="M22" s="37"/>
      <c r="N22" s="37"/>
      <c r="O22" s="37"/>
      <c r="P22" s="37"/>
      <c r="Q22" s="35" t="s">
        <v>623</v>
      </c>
      <c r="R22" s="35">
        <v>511</v>
      </c>
      <c r="S22" s="35" t="s">
        <v>639</v>
      </c>
      <c r="T22" s="35" t="s">
        <v>109</v>
      </c>
      <c r="U22" s="35"/>
    </row>
    <row r="23" spans="1:21" s="38" customFormat="1" ht="110.4" x14ac:dyDescent="0.25">
      <c r="A23" s="35"/>
      <c r="B23" s="140" t="s">
        <v>659</v>
      </c>
      <c r="C23" s="35" t="s">
        <v>658</v>
      </c>
      <c r="D23" s="35" t="s">
        <v>525</v>
      </c>
      <c r="E23" s="35" t="s">
        <v>97</v>
      </c>
      <c r="F23" s="35" t="s">
        <v>94</v>
      </c>
      <c r="G23" s="35" t="s">
        <v>94</v>
      </c>
      <c r="H23" s="40"/>
      <c r="I23" s="35"/>
      <c r="J23" s="37"/>
      <c r="K23" s="37"/>
      <c r="L23" s="37"/>
      <c r="M23" s="37"/>
      <c r="N23" s="37" t="s">
        <v>108</v>
      </c>
      <c r="O23" s="37"/>
      <c r="P23" s="37" t="s">
        <v>109</v>
      </c>
      <c r="Q23" s="35" t="s">
        <v>623</v>
      </c>
      <c r="R23" s="35">
        <v>511</v>
      </c>
      <c r="S23" s="35" t="s">
        <v>657</v>
      </c>
      <c r="T23" s="35" t="s">
        <v>421</v>
      </c>
      <c r="U23" s="35"/>
    </row>
    <row r="24" spans="1:21" s="38" customFormat="1" ht="82.8" x14ac:dyDescent="0.25">
      <c r="A24" s="35"/>
      <c r="B24" s="140" t="s">
        <v>632</v>
      </c>
      <c r="C24" s="35" t="s">
        <v>633</v>
      </c>
      <c r="D24" s="35" t="s">
        <v>634</v>
      </c>
      <c r="E24" s="35" t="s">
        <v>97</v>
      </c>
      <c r="F24" s="35" t="s">
        <v>94</v>
      </c>
      <c r="G24" s="35" t="s">
        <v>635</v>
      </c>
      <c r="H24" s="40"/>
      <c r="I24" s="35"/>
      <c r="J24" s="37" t="s">
        <v>636</v>
      </c>
      <c r="K24" s="37"/>
      <c r="L24" s="37"/>
      <c r="M24" s="37"/>
      <c r="N24" s="37" t="s">
        <v>122</v>
      </c>
      <c r="O24" s="37"/>
      <c r="P24" s="37" t="s">
        <v>105</v>
      </c>
      <c r="Q24" s="35" t="s">
        <v>623</v>
      </c>
      <c r="R24" s="35">
        <v>511</v>
      </c>
      <c r="S24" s="35" t="s">
        <v>641</v>
      </c>
      <c r="T24" s="35" t="s">
        <v>421</v>
      </c>
      <c r="U24" s="35"/>
    </row>
    <row r="25" spans="1:21" s="38" customFormat="1" ht="82.8" x14ac:dyDescent="0.25">
      <c r="A25" s="35"/>
      <c r="B25" s="140" t="s">
        <v>796</v>
      </c>
      <c r="C25" s="35" t="s">
        <v>113</v>
      </c>
      <c r="D25" s="35" t="s">
        <v>524</v>
      </c>
      <c r="E25" s="35" t="s">
        <v>97</v>
      </c>
      <c r="F25" s="35" t="s">
        <v>94</v>
      </c>
      <c r="G25" s="35" t="s">
        <v>95</v>
      </c>
      <c r="H25" s="40"/>
      <c r="I25" s="35"/>
      <c r="J25" s="37" t="s">
        <v>115</v>
      </c>
      <c r="K25" s="37" t="s">
        <v>619</v>
      </c>
      <c r="L25" s="37"/>
      <c r="M25" s="37"/>
      <c r="N25" s="37" t="s">
        <v>104</v>
      </c>
      <c r="O25" s="37"/>
      <c r="P25" s="37" t="s">
        <v>105</v>
      </c>
      <c r="Q25" s="35" t="s">
        <v>623</v>
      </c>
      <c r="R25" s="35">
        <v>511</v>
      </c>
      <c r="S25" s="35" t="s">
        <v>656</v>
      </c>
      <c r="T25" s="35" t="s">
        <v>421</v>
      </c>
      <c r="U25" s="35"/>
    </row>
    <row r="26" spans="1:21" s="38" customFormat="1" x14ac:dyDescent="0.25">
      <c r="A26" s="35"/>
      <c r="B26" s="140" t="s">
        <v>882</v>
      </c>
      <c r="C26" s="35"/>
      <c r="D26" s="35"/>
      <c r="E26" s="35"/>
      <c r="F26" s="35"/>
      <c r="G26" s="35"/>
      <c r="H26" s="39"/>
      <c r="I26" s="35"/>
      <c r="J26" s="37"/>
      <c r="K26" s="37"/>
      <c r="L26" s="37"/>
      <c r="M26" s="37"/>
      <c r="N26" s="37"/>
      <c r="O26" s="37"/>
      <c r="P26" s="37"/>
      <c r="Q26" s="35"/>
      <c r="R26" s="35"/>
      <c r="S26" s="35"/>
      <c r="T26" s="35"/>
      <c r="U26" s="35"/>
    </row>
    <row r="27" spans="1:21" s="38" customFormat="1" ht="82.8" x14ac:dyDescent="0.25">
      <c r="A27" s="35"/>
      <c r="B27" s="140" t="s">
        <v>775</v>
      </c>
      <c r="C27" s="35" t="s">
        <v>110</v>
      </c>
      <c r="D27" s="35"/>
      <c r="E27" s="35" t="s">
        <v>106</v>
      </c>
      <c r="F27" s="35" t="s">
        <v>94</v>
      </c>
      <c r="G27" s="35" t="s">
        <v>111</v>
      </c>
      <c r="H27" s="39"/>
      <c r="I27" s="35"/>
      <c r="J27" s="37" t="s">
        <v>112</v>
      </c>
      <c r="K27" s="37" t="s">
        <v>621</v>
      </c>
      <c r="L27" s="37"/>
      <c r="M27" s="37"/>
      <c r="N27" s="37"/>
      <c r="O27" s="37"/>
      <c r="P27" s="37"/>
      <c r="Q27" s="35" t="s">
        <v>623</v>
      </c>
      <c r="R27" s="35" t="s">
        <v>622</v>
      </c>
      <c r="S27" s="35" t="s">
        <v>490</v>
      </c>
      <c r="T27" s="35" t="s">
        <v>109</v>
      </c>
      <c r="U27" s="35"/>
    </row>
    <row r="28" spans="1:21" s="38" customFormat="1" ht="82.8" x14ac:dyDescent="0.25">
      <c r="A28" s="35"/>
      <c r="B28" s="35" t="s">
        <v>902</v>
      </c>
      <c r="C28" s="35" t="s">
        <v>145</v>
      </c>
      <c r="D28" s="35"/>
      <c r="E28" s="35" t="s">
        <v>106</v>
      </c>
      <c r="F28" s="35" t="s">
        <v>142</v>
      </c>
      <c r="G28" s="35" t="s">
        <v>146</v>
      </c>
      <c r="H28" s="36"/>
      <c r="I28" s="35"/>
      <c r="J28" s="37" t="s">
        <v>147</v>
      </c>
      <c r="K28" s="37" t="s">
        <v>608</v>
      </c>
      <c r="L28" s="37"/>
      <c r="M28" s="37"/>
      <c r="N28" s="37"/>
      <c r="O28" s="37"/>
      <c r="P28" s="37"/>
      <c r="Q28" s="35" t="s">
        <v>623</v>
      </c>
      <c r="R28" s="35" t="s">
        <v>609</v>
      </c>
      <c r="S28" s="35" t="s">
        <v>493</v>
      </c>
      <c r="T28" s="35" t="s">
        <v>109</v>
      </c>
      <c r="U28" s="35"/>
    </row>
    <row r="29" spans="1:21" s="38" customFormat="1" ht="69" x14ac:dyDescent="0.25">
      <c r="A29" s="35"/>
      <c r="B29" s="35" t="s">
        <v>362</v>
      </c>
      <c r="C29" s="35" t="s">
        <v>116</v>
      </c>
      <c r="D29" s="35"/>
      <c r="E29" s="35"/>
      <c r="F29" s="35" t="s">
        <v>94</v>
      </c>
      <c r="G29" s="35" t="s">
        <v>117</v>
      </c>
      <c r="H29" s="36"/>
      <c r="I29" s="35"/>
      <c r="J29" s="37" t="s">
        <v>118</v>
      </c>
      <c r="K29" s="37" t="s">
        <v>608</v>
      </c>
      <c r="L29" s="37"/>
      <c r="M29" s="37"/>
      <c r="N29" s="37"/>
      <c r="O29" s="37"/>
      <c r="P29" s="37"/>
      <c r="Q29" s="35" t="s">
        <v>623</v>
      </c>
      <c r="R29" s="35"/>
      <c r="S29" s="35" t="s">
        <v>493</v>
      </c>
      <c r="T29" s="35" t="s">
        <v>109</v>
      </c>
      <c r="U29" s="35"/>
    </row>
    <row r="30" spans="1:21" s="38" customFormat="1" ht="96.6" x14ac:dyDescent="0.25">
      <c r="A30" s="35"/>
      <c r="B30" s="140" t="s">
        <v>627</v>
      </c>
      <c r="C30" s="35" t="s">
        <v>437</v>
      </c>
      <c r="D30" s="35" t="s">
        <v>524</v>
      </c>
      <c r="E30" s="35" t="s">
        <v>106</v>
      </c>
      <c r="F30" s="35" t="s">
        <v>94</v>
      </c>
      <c r="G30" s="35" t="s">
        <v>107</v>
      </c>
      <c r="H30" s="39"/>
      <c r="I30" s="35"/>
      <c r="J30" s="37" t="s">
        <v>628</v>
      </c>
      <c r="K30" s="37" t="s">
        <v>629</v>
      </c>
      <c r="L30" s="37"/>
      <c r="M30" s="37"/>
      <c r="N30" s="37" t="s">
        <v>108</v>
      </c>
      <c r="O30" s="37"/>
      <c r="P30" s="37" t="s">
        <v>109</v>
      </c>
      <c r="Q30" s="35" t="s">
        <v>623</v>
      </c>
      <c r="R30" s="35">
        <v>511</v>
      </c>
      <c r="S30" s="35" t="s">
        <v>638</v>
      </c>
      <c r="T30" s="35" t="s">
        <v>109</v>
      </c>
      <c r="U30" s="35"/>
    </row>
    <row r="31" spans="1:21" s="38" customFormat="1" x14ac:dyDescent="0.25">
      <c r="A31" s="35"/>
      <c r="B31" s="140" t="s">
        <v>901</v>
      </c>
      <c r="C31" s="35"/>
      <c r="D31" s="35"/>
      <c r="E31" s="35"/>
      <c r="F31" s="35"/>
      <c r="G31" s="35"/>
      <c r="H31" s="39"/>
      <c r="I31" s="35"/>
      <c r="J31" s="37"/>
      <c r="K31" s="37"/>
      <c r="L31" s="37"/>
      <c r="M31" s="37"/>
      <c r="N31" s="37"/>
      <c r="O31" s="37"/>
      <c r="P31" s="37"/>
      <c r="Q31" s="35"/>
      <c r="R31" s="35"/>
      <c r="S31" s="35"/>
      <c r="T31" s="35"/>
      <c r="U31" s="35"/>
    </row>
    <row r="32" spans="1:21" s="38" customFormat="1" x14ac:dyDescent="0.25">
      <c r="A32" s="35"/>
      <c r="B32" s="140" t="s">
        <v>892</v>
      </c>
      <c r="C32" s="35"/>
      <c r="D32" s="35"/>
      <c r="E32" s="35"/>
      <c r="F32" s="35"/>
      <c r="G32" s="35"/>
      <c r="H32" s="39"/>
      <c r="I32" s="35"/>
      <c r="J32" s="37"/>
      <c r="K32" s="37"/>
      <c r="L32" s="37"/>
      <c r="M32" s="37"/>
      <c r="N32" s="37"/>
      <c r="O32" s="37"/>
      <c r="P32" s="37"/>
      <c r="Q32" s="35"/>
      <c r="R32" s="35"/>
      <c r="S32" s="35"/>
      <c r="T32" s="35"/>
      <c r="U32" s="35"/>
    </row>
    <row r="33" spans="1:21" s="38" customFormat="1" ht="110.4" x14ac:dyDescent="0.25">
      <c r="A33" s="35"/>
      <c r="B33" s="35" t="s">
        <v>903</v>
      </c>
      <c r="C33" s="35" t="s">
        <v>129</v>
      </c>
      <c r="D33" s="35" t="s">
        <v>525</v>
      </c>
      <c r="E33" s="35" t="s">
        <v>97</v>
      </c>
      <c r="F33" s="35" t="s">
        <v>94</v>
      </c>
      <c r="G33" s="35" t="s">
        <v>103</v>
      </c>
      <c r="H33" s="40"/>
      <c r="I33" s="35"/>
      <c r="J33" s="37" t="s">
        <v>436</v>
      </c>
      <c r="K33" s="37"/>
      <c r="L33" s="37"/>
      <c r="M33" s="37"/>
      <c r="N33" s="37" t="s">
        <v>104</v>
      </c>
      <c r="O33" s="37"/>
      <c r="P33" s="37" t="s">
        <v>109</v>
      </c>
      <c r="Q33" s="35" t="s">
        <v>623</v>
      </c>
      <c r="R33" s="35">
        <v>511</v>
      </c>
      <c r="S33" s="35" t="s">
        <v>492</v>
      </c>
      <c r="T33" s="35" t="s">
        <v>420</v>
      </c>
      <c r="U33" s="35"/>
    </row>
    <row r="34" spans="1:21" s="38" customFormat="1" ht="129" customHeight="1" x14ac:dyDescent="0.25">
      <c r="A34" s="35"/>
      <c r="B34" s="140" t="s">
        <v>783</v>
      </c>
      <c r="C34" s="35" t="s">
        <v>646</v>
      </c>
      <c r="D34" s="35" t="s">
        <v>524</v>
      </c>
      <c r="E34" s="35" t="s">
        <v>97</v>
      </c>
      <c r="F34" s="35" t="s">
        <v>94</v>
      </c>
      <c r="G34" s="35" t="s">
        <v>647</v>
      </c>
      <c r="H34" s="118"/>
      <c r="I34" s="35"/>
      <c r="J34" s="37" t="s">
        <v>648</v>
      </c>
      <c r="K34" s="37"/>
      <c r="L34" s="37"/>
      <c r="M34" s="37"/>
      <c r="N34" s="37"/>
      <c r="O34" s="37"/>
      <c r="P34" s="37" t="s">
        <v>105</v>
      </c>
      <c r="Q34" s="35" t="s">
        <v>623</v>
      </c>
      <c r="R34" s="35">
        <v>511</v>
      </c>
      <c r="S34" s="35" t="s">
        <v>641</v>
      </c>
      <c r="T34" s="35" t="s">
        <v>421</v>
      </c>
      <c r="U34" s="35"/>
    </row>
    <row r="35" spans="1:21" s="38" customFormat="1" x14ac:dyDescent="0.25">
      <c r="A35" s="35"/>
      <c r="B35" s="140" t="s">
        <v>888</v>
      </c>
      <c r="C35" s="35"/>
      <c r="D35" s="35"/>
      <c r="E35" s="35"/>
      <c r="F35" s="35"/>
      <c r="G35" s="35"/>
      <c r="H35" s="39"/>
      <c r="I35" s="35"/>
      <c r="J35" s="37"/>
      <c r="K35" s="37"/>
      <c r="L35" s="37"/>
      <c r="M35" s="37"/>
      <c r="N35" s="37"/>
      <c r="O35" s="37"/>
      <c r="P35" s="37"/>
      <c r="Q35" s="35"/>
      <c r="R35" s="35"/>
      <c r="S35" s="35"/>
      <c r="T35" s="35"/>
      <c r="U35" s="35"/>
    </row>
    <row r="36" spans="1:21" s="38" customFormat="1" x14ac:dyDescent="0.25">
      <c r="A36" s="35"/>
      <c r="B36" s="140" t="s">
        <v>887</v>
      </c>
      <c r="C36" s="35"/>
      <c r="D36" s="35"/>
      <c r="E36" s="35"/>
      <c r="F36" s="35"/>
      <c r="G36" s="35"/>
      <c r="H36" s="39"/>
      <c r="I36" s="35"/>
      <c r="J36" s="37"/>
      <c r="K36" s="37"/>
      <c r="L36" s="37"/>
      <c r="M36" s="37"/>
      <c r="N36" s="37"/>
      <c r="O36" s="37"/>
      <c r="P36" s="37"/>
      <c r="Q36" s="35"/>
      <c r="R36" s="35"/>
      <c r="S36" s="35"/>
      <c r="T36" s="35"/>
      <c r="U36" s="35"/>
    </row>
    <row r="37" spans="1:21" s="38" customFormat="1" x14ac:dyDescent="0.25">
      <c r="A37" s="35"/>
      <c r="B37" s="140" t="s">
        <v>740</v>
      </c>
      <c r="C37" s="35"/>
      <c r="D37" s="35"/>
      <c r="E37" s="35"/>
      <c r="F37" s="35"/>
      <c r="G37" s="35"/>
      <c r="H37" s="40"/>
      <c r="I37" s="35"/>
      <c r="J37" s="37"/>
      <c r="K37" s="37"/>
      <c r="L37" s="37"/>
      <c r="M37" s="37"/>
      <c r="N37" s="37"/>
      <c r="O37" s="37"/>
      <c r="P37" s="37"/>
      <c r="Q37" s="35"/>
      <c r="R37" s="35"/>
      <c r="S37" s="35"/>
      <c r="T37" s="35"/>
      <c r="U37" s="35"/>
    </row>
    <row r="38" spans="1:21" s="38" customFormat="1" ht="55.2" x14ac:dyDescent="0.25">
      <c r="A38" s="35"/>
      <c r="B38" s="140" t="s">
        <v>893</v>
      </c>
      <c r="C38" s="35" t="s">
        <v>777</v>
      </c>
      <c r="D38" s="35" t="s">
        <v>524</v>
      </c>
      <c r="E38" s="35" t="s">
        <v>97</v>
      </c>
      <c r="F38" s="35" t="s">
        <v>142</v>
      </c>
      <c r="G38" s="35" t="s">
        <v>142</v>
      </c>
      <c r="H38" s="39"/>
      <c r="I38" s="35"/>
      <c r="J38" s="37"/>
      <c r="K38" s="37"/>
      <c r="L38" s="37"/>
      <c r="M38" s="37"/>
      <c r="N38" s="37" t="s">
        <v>104</v>
      </c>
      <c r="O38" s="37"/>
      <c r="P38" s="37"/>
      <c r="Q38" s="35" t="s">
        <v>623</v>
      </c>
      <c r="R38" s="35"/>
      <c r="S38" s="35" t="s">
        <v>641</v>
      </c>
      <c r="T38" s="35" t="s">
        <v>421</v>
      </c>
      <c r="U38" s="35"/>
    </row>
    <row r="39" spans="1:21" s="38" customFormat="1" x14ac:dyDescent="0.25">
      <c r="A39" s="35"/>
      <c r="B39" s="140" t="s">
        <v>878</v>
      </c>
      <c r="C39" s="35"/>
      <c r="D39" s="35"/>
      <c r="E39" s="35"/>
      <c r="F39" s="35"/>
      <c r="G39" s="35"/>
      <c r="H39" s="39"/>
      <c r="I39" s="35"/>
      <c r="J39" s="37"/>
      <c r="K39" s="37"/>
      <c r="L39" s="37"/>
      <c r="M39" s="37"/>
      <c r="N39" s="37"/>
      <c r="O39" s="37"/>
      <c r="P39" s="37"/>
      <c r="Q39" s="35"/>
      <c r="R39" s="35"/>
      <c r="S39" s="35"/>
      <c r="T39" s="35"/>
      <c r="U39" s="35"/>
    </row>
    <row r="40" spans="1:21" s="38" customFormat="1" ht="82.8" x14ac:dyDescent="0.25">
      <c r="A40" s="35"/>
      <c r="B40" s="140" t="s">
        <v>880</v>
      </c>
      <c r="C40" s="35"/>
      <c r="D40" s="35" t="s">
        <v>119</v>
      </c>
      <c r="E40" s="35" t="s">
        <v>97</v>
      </c>
      <c r="F40" s="35" t="s">
        <v>94</v>
      </c>
      <c r="G40" s="35" t="s">
        <v>635</v>
      </c>
      <c r="H40" s="39"/>
      <c r="I40" s="35"/>
      <c r="J40" s="37"/>
      <c r="K40" s="37"/>
      <c r="L40" s="37"/>
      <c r="M40" s="37"/>
      <c r="N40" s="37" t="s">
        <v>120</v>
      </c>
      <c r="O40" s="37"/>
      <c r="P40" s="37" t="s">
        <v>105</v>
      </c>
      <c r="Q40" s="35" t="s">
        <v>623</v>
      </c>
      <c r="R40" s="35">
        <v>511</v>
      </c>
      <c r="S40" s="35" t="s">
        <v>640</v>
      </c>
      <c r="T40" s="35" t="s">
        <v>420</v>
      </c>
      <c r="U40" s="35"/>
    </row>
    <row r="41" spans="1:21" s="38" customFormat="1" ht="69" x14ac:dyDescent="0.25">
      <c r="A41" s="35"/>
      <c r="B41" s="35" t="s">
        <v>513</v>
      </c>
      <c r="C41" s="35" t="s">
        <v>515</v>
      </c>
      <c r="D41" s="35" t="s">
        <v>524</v>
      </c>
      <c r="E41" s="35" t="s">
        <v>97</v>
      </c>
      <c r="F41" s="35" t="s">
        <v>159</v>
      </c>
      <c r="G41" s="35" t="s">
        <v>136</v>
      </c>
      <c r="H41" s="39"/>
      <c r="I41" s="35"/>
      <c r="J41" s="37" t="s">
        <v>516</v>
      </c>
      <c r="K41" s="37" t="s">
        <v>516</v>
      </c>
      <c r="L41" s="37"/>
      <c r="M41" s="37"/>
      <c r="N41" s="37" t="s">
        <v>108</v>
      </c>
      <c r="O41" s="37"/>
      <c r="P41" s="37" t="s">
        <v>109</v>
      </c>
      <c r="Q41" s="35" t="s">
        <v>623</v>
      </c>
      <c r="R41" s="35">
        <v>511</v>
      </c>
      <c r="S41" s="35" t="s">
        <v>518</v>
      </c>
      <c r="T41" s="35" t="s">
        <v>109</v>
      </c>
      <c r="U41" s="35"/>
    </row>
    <row r="42" spans="1:21" s="38" customFormat="1" ht="82.8" x14ac:dyDescent="0.25">
      <c r="A42" s="35"/>
      <c r="B42" s="140" t="s">
        <v>784</v>
      </c>
      <c r="C42" s="35" t="s">
        <v>785</v>
      </c>
      <c r="D42" s="35" t="s">
        <v>786</v>
      </c>
      <c r="E42" s="35" t="s">
        <v>97</v>
      </c>
      <c r="F42" s="35" t="s">
        <v>94</v>
      </c>
      <c r="G42" s="35" t="s">
        <v>635</v>
      </c>
      <c r="H42" s="40"/>
      <c r="I42" s="35"/>
      <c r="J42" s="37" t="s">
        <v>636</v>
      </c>
      <c r="K42" s="37"/>
      <c r="L42" s="37"/>
      <c r="M42" s="37"/>
      <c r="N42" s="37" t="s">
        <v>122</v>
      </c>
      <c r="O42" s="37"/>
      <c r="P42" s="37" t="s">
        <v>105</v>
      </c>
      <c r="Q42" s="35" t="s">
        <v>623</v>
      </c>
      <c r="R42" s="35">
        <v>511</v>
      </c>
      <c r="S42" s="35" t="s">
        <v>641</v>
      </c>
      <c r="T42" s="35" t="s">
        <v>421</v>
      </c>
      <c r="U42" s="35"/>
    </row>
    <row r="43" spans="1:21" s="38" customFormat="1" ht="27.6" x14ac:dyDescent="0.25">
      <c r="A43" s="35"/>
      <c r="B43" s="140" t="s">
        <v>802</v>
      </c>
      <c r="C43" s="35"/>
      <c r="D43" s="35"/>
      <c r="E43" s="35"/>
      <c r="F43" s="35"/>
      <c r="G43" s="35"/>
      <c r="H43" s="39"/>
      <c r="I43" s="35"/>
      <c r="J43" s="37"/>
      <c r="K43" s="37"/>
      <c r="L43" s="37"/>
      <c r="M43" s="37"/>
      <c r="N43" s="37"/>
      <c r="O43" s="37"/>
      <c r="P43" s="37"/>
      <c r="Q43" s="35"/>
      <c r="R43" s="35"/>
      <c r="S43" s="35"/>
      <c r="T43" s="35"/>
      <c r="U43" s="35"/>
    </row>
    <row r="44" spans="1:21" s="38" customFormat="1" ht="69" x14ac:dyDescent="0.25">
      <c r="A44" s="35"/>
      <c r="B44" s="140" t="s">
        <v>644</v>
      </c>
      <c r="C44" s="35" t="s">
        <v>645</v>
      </c>
      <c r="D44" s="35"/>
      <c r="E44" s="35" t="s">
        <v>97</v>
      </c>
      <c r="F44" s="35" t="s">
        <v>94</v>
      </c>
      <c r="G44" s="35"/>
      <c r="H44" s="40"/>
      <c r="I44" s="35"/>
      <c r="J44" s="37" t="s">
        <v>115</v>
      </c>
      <c r="K44" s="37" t="s">
        <v>614</v>
      </c>
      <c r="L44" s="37"/>
      <c r="M44" s="37"/>
      <c r="N44" s="37"/>
      <c r="O44" s="37"/>
      <c r="P44" s="37"/>
      <c r="Q44" s="35" t="s">
        <v>623</v>
      </c>
      <c r="R44" s="35">
        <v>511</v>
      </c>
      <c r="S44" s="35" t="s">
        <v>643</v>
      </c>
      <c r="T44" s="35" t="s">
        <v>421</v>
      </c>
      <c r="U44" s="35"/>
    </row>
    <row r="45" spans="1:21" s="38" customFormat="1" x14ac:dyDescent="0.25">
      <c r="A45" s="35"/>
      <c r="B45" s="140" t="s">
        <v>894</v>
      </c>
      <c r="C45" s="35"/>
      <c r="D45" s="35"/>
      <c r="E45" s="35"/>
      <c r="F45" s="35"/>
      <c r="G45" s="35"/>
      <c r="H45" s="40"/>
      <c r="I45" s="35"/>
      <c r="J45" s="37"/>
      <c r="K45" s="37"/>
      <c r="L45" s="37"/>
      <c r="M45" s="37"/>
      <c r="N45" s="37"/>
      <c r="O45" s="37"/>
      <c r="P45" s="37"/>
      <c r="Q45" s="35"/>
      <c r="R45" s="35"/>
      <c r="S45" s="35"/>
      <c r="T45" s="35"/>
      <c r="U45" s="35"/>
    </row>
    <row r="46" spans="1:21" s="38" customFormat="1" x14ac:dyDescent="0.25">
      <c r="A46" s="35"/>
      <c r="B46" s="140" t="s">
        <v>895</v>
      </c>
      <c r="C46" s="35"/>
      <c r="D46" s="35"/>
      <c r="E46" s="35"/>
      <c r="F46" s="35"/>
      <c r="G46" s="35"/>
      <c r="H46" s="40"/>
      <c r="I46" s="35"/>
      <c r="J46" s="37"/>
      <c r="K46" s="37"/>
      <c r="L46" s="37"/>
      <c r="M46" s="37"/>
      <c r="N46" s="37"/>
      <c r="O46" s="37"/>
      <c r="P46" s="37"/>
      <c r="Q46" s="35"/>
      <c r="R46" s="35"/>
      <c r="S46" s="35"/>
      <c r="T46" s="35"/>
      <c r="U46" s="35"/>
    </row>
    <row r="47" spans="1:21" s="38" customFormat="1" x14ac:dyDescent="0.25">
      <c r="A47" s="35"/>
      <c r="B47" s="140" t="s">
        <v>871</v>
      </c>
      <c r="C47" s="35"/>
      <c r="D47" s="35"/>
      <c r="E47" s="35"/>
      <c r="F47" s="35"/>
      <c r="G47" s="35"/>
      <c r="H47" s="40"/>
      <c r="I47" s="35"/>
      <c r="J47" s="37"/>
      <c r="K47" s="37"/>
      <c r="L47" s="37"/>
      <c r="M47" s="37"/>
      <c r="N47" s="37"/>
      <c r="O47" s="37"/>
      <c r="P47" s="37"/>
      <c r="Q47" s="35"/>
      <c r="R47" s="35"/>
      <c r="S47" s="35"/>
      <c r="T47" s="35"/>
      <c r="U47" s="35"/>
    </row>
    <row r="48" spans="1:21" s="38" customFormat="1" x14ac:dyDescent="0.25">
      <c r="A48" s="35"/>
      <c r="B48" s="140" t="s">
        <v>872</v>
      </c>
      <c r="C48" s="35"/>
      <c r="D48" s="35"/>
      <c r="E48" s="35"/>
      <c r="F48" s="35"/>
      <c r="G48" s="35"/>
      <c r="H48" s="40"/>
      <c r="I48" s="35"/>
      <c r="J48" s="37"/>
      <c r="K48" s="37"/>
      <c r="L48" s="37"/>
      <c r="M48" s="37"/>
      <c r="N48" s="37"/>
      <c r="O48" s="37"/>
      <c r="P48" s="37"/>
      <c r="Q48" s="35"/>
      <c r="R48" s="35"/>
      <c r="S48" s="35"/>
      <c r="T48" s="35"/>
      <c r="U48" s="35"/>
    </row>
    <row r="49" spans="1:21" s="38" customFormat="1" x14ac:dyDescent="0.25">
      <c r="A49" s="35"/>
      <c r="B49" s="140" t="s">
        <v>873</v>
      </c>
      <c r="C49" s="35"/>
      <c r="D49" s="35"/>
      <c r="E49" s="35"/>
      <c r="F49" s="35"/>
      <c r="G49" s="35"/>
      <c r="H49" s="40"/>
      <c r="I49" s="35"/>
      <c r="J49" s="37"/>
      <c r="K49" s="37"/>
      <c r="L49" s="37"/>
      <c r="M49" s="37"/>
      <c r="N49" s="37"/>
      <c r="O49" s="37"/>
      <c r="P49" s="37"/>
      <c r="Q49" s="35"/>
      <c r="R49" s="35"/>
      <c r="S49" s="35"/>
      <c r="T49" s="35"/>
      <c r="U49" s="35"/>
    </row>
    <row r="50" spans="1:21" s="38" customFormat="1" x14ac:dyDescent="0.25">
      <c r="A50" s="35"/>
      <c r="B50" s="140" t="s">
        <v>874</v>
      </c>
      <c r="C50" s="35"/>
      <c r="D50" s="35"/>
      <c r="E50" s="35"/>
      <c r="F50" s="35"/>
      <c r="G50" s="35"/>
      <c r="H50" s="40"/>
      <c r="I50" s="35"/>
      <c r="J50" s="37"/>
      <c r="K50" s="37"/>
      <c r="L50" s="37"/>
      <c r="M50" s="37"/>
      <c r="N50" s="37"/>
      <c r="O50" s="37"/>
      <c r="P50" s="37"/>
      <c r="Q50" s="35"/>
      <c r="R50" s="35"/>
      <c r="S50" s="35"/>
      <c r="T50" s="35"/>
      <c r="U50" s="35"/>
    </row>
    <row r="51" spans="1:21" s="38" customFormat="1" x14ac:dyDescent="0.25">
      <c r="A51" s="35"/>
      <c r="B51" s="140" t="s">
        <v>875</v>
      </c>
      <c r="C51" s="35"/>
      <c r="D51" s="35"/>
      <c r="E51" s="35"/>
      <c r="F51" s="35"/>
      <c r="G51" s="35"/>
      <c r="H51" s="40"/>
      <c r="I51" s="35"/>
      <c r="J51" s="37"/>
      <c r="K51" s="37"/>
      <c r="L51" s="37"/>
      <c r="M51" s="37"/>
      <c r="N51" s="37"/>
      <c r="O51" s="37"/>
      <c r="P51" s="37"/>
      <c r="Q51" s="35"/>
      <c r="R51" s="35"/>
      <c r="S51" s="35"/>
      <c r="T51" s="35"/>
      <c r="U51" s="35"/>
    </row>
    <row r="52" spans="1:21" s="38" customFormat="1" ht="55.2" x14ac:dyDescent="0.25">
      <c r="A52" s="35"/>
      <c r="B52" s="140" t="s">
        <v>123</v>
      </c>
      <c r="C52" s="35" t="s">
        <v>124</v>
      </c>
      <c r="D52" s="35" t="s">
        <v>524</v>
      </c>
      <c r="E52" s="35" t="s">
        <v>97</v>
      </c>
      <c r="F52" s="35" t="s">
        <v>94</v>
      </c>
      <c r="G52" s="35" t="s">
        <v>125</v>
      </c>
      <c r="H52" s="40"/>
      <c r="I52" s="35"/>
      <c r="J52" s="37" t="s">
        <v>126</v>
      </c>
      <c r="K52" s="37"/>
      <c r="L52" s="37"/>
      <c r="M52" s="37"/>
      <c r="N52" s="37" t="s">
        <v>108</v>
      </c>
      <c r="O52" s="37"/>
      <c r="P52" s="37" t="s">
        <v>109</v>
      </c>
      <c r="Q52" s="35" t="s">
        <v>623</v>
      </c>
      <c r="R52" s="35">
        <v>511</v>
      </c>
      <c r="S52" s="35" t="s">
        <v>491</v>
      </c>
      <c r="T52" s="35" t="s">
        <v>421</v>
      </c>
      <c r="U52" s="35"/>
    </row>
    <row r="53" spans="1:21" s="38" customFormat="1" ht="55.2" x14ac:dyDescent="0.25">
      <c r="A53" s="35"/>
      <c r="B53" s="140" t="s">
        <v>791</v>
      </c>
      <c r="C53" s="35" t="s">
        <v>124</v>
      </c>
      <c r="D53" s="35" t="s">
        <v>524</v>
      </c>
      <c r="E53" s="35" t="s">
        <v>97</v>
      </c>
      <c r="F53" s="35" t="s">
        <v>94</v>
      </c>
      <c r="G53" s="35" t="s">
        <v>125</v>
      </c>
      <c r="H53" s="40"/>
      <c r="I53" s="35"/>
      <c r="J53" s="37" t="s">
        <v>126</v>
      </c>
      <c r="K53" s="37"/>
      <c r="L53" s="37"/>
      <c r="M53" s="37"/>
      <c r="N53" s="37" t="s">
        <v>108</v>
      </c>
      <c r="O53" s="37"/>
      <c r="P53" s="37" t="s">
        <v>109</v>
      </c>
      <c r="Q53" s="35" t="s">
        <v>623</v>
      </c>
      <c r="R53" s="35">
        <v>511</v>
      </c>
      <c r="S53" s="35" t="s">
        <v>491</v>
      </c>
      <c r="T53" s="35" t="s">
        <v>421</v>
      </c>
      <c r="U53" s="35"/>
    </row>
    <row r="54" spans="1:21" s="38" customFormat="1" x14ac:dyDescent="0.25">
      <c r="A54" s="35"/>
      <c r="B54" s="140" t="s">
        <v>799</v>
      </c>
      <c r="C54" s="35" t="s">
        <v>800</v>
      </c>
      <c r="D54" s="35"/>
      <c r="E54" s="35"/>
      <c r="F54" s="35"/>
      <c r="G54" s="35"/>
      <c r="H54" s="39"/>
      <c r="I54" s="35"/>
      <c r="J54" s="37"/>
      <c r="K54" s="37"/>
      <c r="L54" s="37"/>
      <c r="M54" s="37"/>
      <c r="N54" s="37"/>
      <c r="O54" s="37"/>
      <c r="P54" s="37"/>
      <c r="Q54" s="35"/>
      <c r="R54" s="35"/>
      <c r="S54" s="35"/>
      <c r="T54" s="35"/>
      <c r="U54" s="35"/>
    </row>
    <row r="55" spans="1:21" s="38" customFormat="1" ht="27.6" x14ac:dyDescent="0.25">
      <c r="A55" s="35"/>
      <c r="B55" s="140" t="s">
        <v>799</v>
      </c>
      <c r="C55" s="35" t="s">
        <v>801</v>
      </c>
      <c r="D55" s="35"/>
      <c r="E55" s="35"/>
      <c r="F55" s="35"/>
      <c r="G55" s="35"/>
      <c r="H55" s="39"/>
      <c r="I55" s="35"/>
      <c r="J55" s="37"/>
      <c r="K55" s="37"/>
      <c r="L55" s="37"/>
      <c r="M55" s="37"/>
      <c r="N55" s="37"/>
      <c r="O55" s="37"/>
      <c r="P55" s="37"/>
      <c r="Q55" s="35"/>
      <c r="R55" s="35"/>
      <c r="S55" s="35"/>
      <c r="T55" s="35"/>
      <c r="U55" s="35"/>
    </row>
    <row r="56" spans="1:21" s="38" customFormat="1" ht="69" x14ac:dyDescent="0.25">
      <c r="A56" s="35"/>
      <c r="B56" s="35" t="s">
        <v>512</v>
      </c>
      <c r="C56" s="35" t="s">
        <v>514</v>
      </c>
      <c r="D56" s="35" t="s">
        <v>524</v>
      </c>
      <c r="E56" s="35" t="s">
        <v>97</v>
      </c>
      <c r="F56" s="35" t="s">
        <v>159</v>
      </c>
      <c r="G56" s="35" t="s">
        <v>136</v>
      </c>
      <c r="H56" s="39"/>
      <c r="I56" s="35"/>
      <c r="J56" s="37" t="s">
        <v>516</v>
      </c>
      <c r="K56" s="37" t="s">
        <v>516</v>
      </c>
      <c r="L56" s="37"/>
      <c r="M56" s="37"/>
      <c r="N56" s="37" t="s">
        <v>108</v>
      </c>
      <c r="O56" s="37"/>
      <c r="P56" s="37" t="s">
        <v>109</v>
      </c>
      <c r="Q56" s="35" t="s">
        <v>623</v>
      </c>
      <c r="R56" s="35">
        <v>511</v>
      </c>
      <c r="S56" s="35" t="s">
        <v>517</v>
      </c>
      <c r="T56" s="35" t="s">
        <v>109</v>
      </c>
      <c r="U56" s="35"/>
    </row>
    <row r="57" spans="1:21" s="38" customFormat="1" ht="69" x14ac:dyDescent="0.25">
      <c r="A57" s="35"/>
      <c r="B57" s="140" t="s">
        <v>776</v>
      </c>
      <c r="C57" s="35"/>
      <c r="D57" s="35"/>
      <c r="E57" s="35" t="s">
        <v>106</v>
      </c>
      <c r="F57" s="35" t="s">
        <v>94</v>
      </c>
      <c r="G57" s="35" t="s">
        <v>111</v>
      </c>
      <c r="H57" s="39"/>
      <c r="I57" s="35"/>
      <c r="J57" s="37"/>
      <c r="K57" s="37" t="s">
        <v>621</v>
      </c>
      <c r="L57" s="37"/>
      <c r="M57" s="37"/>
      <c r="N57" s="37"/>
      <c r="O57" s="37"/>
      <c r="P57" s="37"/>
      <c r="Q57" s="35" t="s">
        <v>623</v>
      </c>
      <c r="R57" s="35" t="s">
        <v>622</v>
      </c>
      <c r="S57" s="35" t="s">
        <v>490</v>
      </c>
      <c r="T57" s="35" t="s">
        <v>109</v>
      </c>
      <c r="U57" s="35"/>
    </row>
    <row r="58" spans="1:21" s="38" customFormat="1" ht="55.2" x14ac:dyDescent="0.25">
      <c r="A58" s="35"/>
      <c r="B58" s="140" t="s">
        <v>876</v>
      </c>
      <c r="C58" s="35"/>
      <c r="D58" s="35" t="s">
        <v>524</v>
      </c>
      <c r="E58" s="35" t="s">
        <v>97</v>
      </c>
      <c r="F58" s="35" t="s">
        <v>142</v>
      </c>
      <c r="G58" s="35" t="s">
        <v>142</v>
      </c>
      <c r="H58" s="39"/>
      <c r="I58" s="35"/>
      <c r="J58" s="37"/>
      <c r="K58" s="37"/>
      <c r="L58" s="37"/>
      <c r="M58" s="37"/>
      <c r="N58" s="37" t="s">
        <v>104</v>
      </c>
      <c r="O58" s="37"/>
      <c r="P58" s="37"/>
      <c r="Q58" s="35" t="s">
        <v>623</v>
      </c>
      <c r="R58" s="35"/>
      <c r="S58" s="35" t="s">
        <v>641</v>
      </c>
      <c r="T58" s="35" t="s">
        <v>421</v>
      </c>
      <c r="U58" s="35"/>
    </row>
    <row r="59" spans="1:21" s="38" customFormat="1" ht="82.8" x14ac:dyDescent="0.25">
      <c r="A59" s="35"/>
      <c r="B59" s="140" t="s">
        <v>637</v>
      </c>
      <c r="C59" s="35" t="s">
        <v>795</v>
      </c>
      <c r="D59" s="35"/>
      <c r="E59" s="35" t="s">
        <v>106</v>
      </c>
      <c r="F59" s="35" t="s">
        <v>94</v>
      </c>
      <c r="G59" s="35"/>
      <c r="H59" s="39"/>
      <c r="I59" s="35"/>
      <c r="J59" s="37"/>
      <c r="K59" s="37"/>
      <c r="L59" s="37"/>
      <c r="M59" s="37"/>
      <c r="N59" s="37"/>
      <c r="O59" s="37"/>
      <c r="P59" s="37"/>
      <c r="Q59" s="35" t="s">
        <v>443</v>
      </c>
      <c r="R59" s="35" t="s">
        <v>443</v>
      </c>
      <c r="S59" s="35" t="s">
        <v>642</v>
      </c>
      <c r="T59" s="35" t="s">
        <v>109</v>
      </c>
      <c r="U59" s="35"/>
    </row>
    <row r="60" spans="1:21" s="38" customFormat="1" ht="55.2" x14ac:dyDescent="0.25">
      <c r="A60" s="35"/>
      <c r="B60" s="35" t="s">
        <v>625</v>
      </c>
      <c r="C60" s="35"/>
      <c r="D60" s="35"/>
      <c r="E60" s="35" t="s">
        <v>106</v>
      </c>
      <c r="F60" s="35" t="s">
        <v>94</v>
      </c>
      <c r="G60" s="35" t="s">
        <v>101</v>
      </c>
      <c r="H60" s="39"/>
      <c r="I60" s="35"/>
      <c r="J60" s="37" t="s">
        <v>626</v>
      </c>
      <c r="K60" s="37"/>
      <c r="L60" s="37"/>
      <c r="M60" s="37"/>
      <c r="N60" s="37"/>
      <c r="O60" s="37"/>
      <c r="P60" s="37"/>
      <c r="Q60" s="35" t="s">
        <v>102</v>
      </c>
      <c r="R60" s="35"/>
      <c r="S60" s="35"/>
      <c r="T60" s="35" t="s">
        <v>109</v>
      </c>
      <c r="U60" s="35"/>
    </row>
    <row r="61" spans="1:21" s="38" customFormat="1" x14ac:dyDescent="0.25">
      <c r="A61" s="35"/>
      <c r="B61" s="140" t="s">
        <v>741</v>
      </c>
      <c r="C61" s="35"/>
      <c r="D61" s="35"/>
      <c r="E61" s="35"/>
      <c r="F61" s="35"/>
      <c r="G61" s="35"/>
      <c r="H61" s="39"/>
      <c r="I61" s="35"/>
      <c r="J61" s="37"/>
      <c r="K61" s="37"/>
      <c r="L61" s="37"/>
      <c r="M61" s="37"/>
      <c r="N61" s="37"/>
      <c r="O61" s="37"/>
      <c r="P61" s="37"/>
      <c r="Q61" s="35"/>
      <c r="R61" s="35"/>
      <c r="S61" s="35"/>
      <c r="T61" s="35"/>
      <c r="U61" s="35"/>
    </row>
    <row r="62" spans="1:21" s="38" customFormat="1" ht="41.4" x14ac:dyDescent="0.25">
      <c r="A62" s="35"/>
      <c r="B62" s="140" t="s">
        <v>877</v>
      </c>
      <c r="C62" s="35"/>
      <c r="D62" s="35" t="s">
        <v>524</v>
      </c>
      <c r="E62" s="35" t="s">
        <v>97</v>
      </c>
      <c r="F62" s="35" t="s">
        <v>94</v>
      </c>
      <c r="G62" s="35"/>
      <c r="H62" s="39"/>
      <c r="I62" s="35"/>
      <c r="J62" s="37"/>
      <c r="K62" s="37"/>
      <c r="L62" s="37"/>
      <c r="M62" s="37"/>
      <c r="N62" s="37"/>
      <c r="O62" s="37"/>
      <c r="P62" s="37"/>
      <c r="Q62" s="35"/>
      <c r="R62" s="35"/>
      <c r="S62" s="35"/>
      <c r="T62" s="35"/>
      <c r="U62" s="35"/>
    </row>
    <row r="63" spans="1:21" s="38" customFormat="1" ht="27.6" x14ac:dyDescent="0.25">
      <c r="A63" s="35"/>
      <c r="B63" s="35" t="s">
        <v>502</v>
      </c>
      <c r="C63" s="35" t="s">
        <v>503</v>
      </c>
      <c r="D63" s="35" t="s">
        <v>525</v>
      </c>
      <c r="E63" s="35" t="s">
        <v>97</v>
      </c>
      <c r="F63" s="35" t="s">
        <v>94</v>
      </c>
      <c r="G63" s="35" t="s">
        <v>111</v>
      </c>
      <c r="H63" s="39"/>
      <c r="I63" s="35"/>
      <c r="J63" s="37"/>
      <c r="K63" s="37"/>
      <c r="L63" s="37"/>
      <c r="M63" s="37"/>
      <c r="N63" s="37" t="s">
        <v>108</v>
      </c>
      <c r="O63" s="37"/>
      <c r="P63" s="37" t="s">
        <v>109</v>
      </c>
      <c r="Q63" s="35" t="s">
        <v>444</v>
      </c>
      <c r="R63" s="35" t="s">
        <v>444</v>
      </c>
      <c r="S63" s="35" t="s">
        <v>500</v>
      </c>
      <c r="T63" s="35" t="s">
        <v>109</v>
      </c>
      <c r="U63" s="35"/>
    </row>
    <row r="64" spans="1:21" s="38" customFormat="1" ht="96.6" x14ac:dyDescent="0.25">
      <c r="A64" s="35"/>
      <c r="B64" s="140" t="s">
        <v>797</v>
      </c>
      <c r="C64" s="35" t="s">
        <v>798</v>
      </c>
      <c r="D64" s="35" t="s">
        <v>524</v>
      </c>
      <c r="E64" s="35" t="s">
        <v>97</v>
      </c>
      <c r="F64" s="35" t="s">
        <v>156</v>
      </c>
      <c r="G64" s="35" t="s">
        <v>158</v>
      </c>
      <c r="H64" s="39"/>
      <c r="I64" s="35"/>
      <c r="J64" s="37" t="s">
        <v>137</v>
      </c>
      <c r="K64" s="37" t="s">
        <v>616</v>
      </c>
      <c r="L64" s="37"/>
      <c r="M64" s="37"/>
      <c r="N64" s="37" t="s">
        <v>138</v>
      </c>
      <c r="O64" s="37"/>
      <c r="P64" s="37" t="s">
        <v>105</v>
      </c>
      <c r="Q64" s="35" t="s">
        <v>623</v>
      </c>
      <c r="R64" s="35">
        <v>511</v>
      </c>
      <c r="S64" s="35" t="s">
        <v>497</v>
      </c>
      <c r="T64" s="35" t="s">
        <v>421</v>
      </c>
      <c r="U64" s="35"/>
    </row>
    <row r="65" spans="1:21" s="38" customFormat="1" x14ac:dyDescent="0.25">
      <c r="A65" s="35"/>
      <c r="B65" s="140" t="s">
        <v>896</v>
      </c>
      <c r="C65" s="35"/>
      <c r="D65" s="35"/>
      <c r="E65" s="35"/>
      <c r="F65" s="35"/>
      <c r="G65" s="35"/>
      <c r="H65" s="40"/>
      <c r="I65" s="35"/>
      <c r="J65" s="37"/>
      <c r="K65" s="37"/>
      <c r="L65" s="37"/>
      <c r="M65" s="37"/>
      <c r="N65" s="37"/>
      <c r="O65" s="37"/>
      <c r="P65" s="37"/>
      <c r="Q65" s="35"/>
      <c r="R65" s="35"/>
      <c r="S65" s="35"/>
      <c r="T65" s="35"/>
      <c r="U65" s="35"/>
    </row>
    <row r="66" spans="1:21" s="38" customFormat="1" x14ac:dyDescent="0.25">
      <c r="A66" s="35"/>
      <c r="B66" s="140" t="s">
        <v>897</v>
      </c>
      <c r="C66" s="35"/>
      <c r="D66" s="35"/>
      <c r="E66" s="35"/>
      <c r="F66" s="35"/>
      <c r="G66" s="35"/>
      <c r="H66" s="40"/>
      <c r="I66" s="35"/>
      <c r="J66" s="37"/>
      <c r="K66" s="37"/>
      <c r="L66" s="37"/>
      <c r="M66" s="37"/>
      <c r="N66" s="37"/>
      <c r="O66" s="37"/>
      <c r="P66" s="37"/>
      <c r="Q66" s="35"/>
      <c r="R66" s="35"/>
      <c r="S66" s="35"/>
      <c r="T66" s="35"/>
      <c r="U66" s="35"/>
    </row>
    <row r="67" spans="1:21" s="38" customFormat="1" ht="27.6" x14ac:dyDescent="0.25">
      <c r="A67" s="35"/>
      <c r="B67" s="35" t="s">
        <v>498</v>
      </c>
      <c r="C67" s="35" t="s">
        <v>501</v>
      </c>
      <c r="D67" s="35" t="s">
        <v>525</v>
      </c>
      <c r="E67" s="35" t="s">
        <v>106</v>
      </c>
      <c r="F67" s="35" t="s">
        <v>142</v>
      </c>
      <c r="G67" s="35" t="s">
        <v>94</v>
      </c>
      <c r="H67" s="39"/>
      <c r="I67" s="35"/>
      <c r="J67" s="37" t="s">
        <v>499</v>
      </c>
      <c r="K67" s="37"/>
      <c r="L67" s="37"/>
      <c r="M67" s="37"/>
      <c r="N67" s="37" t="s">
        <v>108</v>
      </c>
      <c r="O67" s="37"/>
      <c r="P67" s="37" t="s">
        <v>109</v>
      </c>
      <c r="Q67" s="35" t="s">
        <v>444</v>
      </c>
      <c r="R67" s="35" t="s">
        <v>444</v>
      </c>
      <c r="S67" s="35" t="s">
        <v>500</v>
      </c>
      <c r="T67" s="35" t="s">
        <v>109</v>
      </c>
      <c r="U67" s="35"/>
    </row>
    <row r="68" spans="1:21" s="38" customFormat="1" x14ac:dyDescent="0.25">
      <c r="A68" s="35"/>
      <c r="B68" s="140" t="s">
        <v>885</v>
      </c>
      <c r="C68" s="35"/>
      <c r="D68" s="35"/>
      <c r="E68" s="35"/>
      <c r="F68" s="35"/>
      <c r="G68" s="35"/>
      <c r="H68" s="39"/>
      <c r="I68" s="35"/>
      <c r="J68" s="37"/>
      <c r="K68" s="37"/>
      <c r="L68" s="37"/>
      <c r="M68" s="37"/>
      <c r="N68" s="37"/>
      <c r="O68" s="37"/>
      <c r="P68" s="37"/>
      <c r="Q68" s="35"/>
      <c r="R68" s="35"/>
      <c r="S68" s="35"/>
      <c r="T68" s="35"/>
      <c r="U68" s="35"/>
    </row>
    <row r="69" spans="1:21" s="38" customFormat="1" x14ac:dyDescent="0.25">
      <c r="A69" s="35"/>
      <c r="B69" s="140" t="s">
        <v>891</v>
      </c>
      <c r="C69" s="35"/>
      <c r="D69" s="35"/>
      <c r="E69" s="35"/>
      <c r="F69" s="35"/>
      <c r="G69" s="35"/>
      <c r="H69" s="39"/>
      <c r="I69" s="35"/>
      <c r="J69" s="37"/>
      <c r="K69" s="37"/>
      <c r="L69" s="37"/>
      <c r="M69" s="37"/>
      <c r="N69" s="37"/>
      <c r="O69" s="37"/>
      <c r="P69" s="37"/>
      <c r="Q69" s="35"/>
      <c r="R69" s="35"/>
      <c r="S69" s="35"/>
      <c r="T69" s="35"/>
      <c r="U69" s="35"/>
    </row>
    <row r="70" spans="1:21" s="38" customFormat="1" x14ac:dyDescent="0.25">
      <c r="A70" s="35"/>
      <c r="B70" s="140" t="s">
        <v>886</v>
      </c>
      <c r="C70" s="35"/>
      <c r="D70" s="35"/>
      <c r="E70" s="35"/>
      <c r="F70" s="35"/>
      <c r="G70" s="35"/>
      <c r="H70" s="39"/>
      <c r="I70" s="35"/>
      <c r="J70" s="37"/>
      <c r="K70" s="37"/>
      <c r="L70" s="37"/>
      <c r="M70" s="37"/>
      <c r="N70" s="37"/>
      <c r="O70" s="37"/>
      <c r="P70" s="37"/>
      <c r="Q70" s="35"/>
      <c r="R70" s="35"/>
      <c r="S70" s="35"/>
      <c r="T70" s="35"/>
      <c r="U70" s="35"/>
    </row>
    <row r="71" spans="1:21" s="38" customFormat="1" x14ac:dyDescent="0.25">
      <c r="A71" s="35"/>
      <c r="B71" s="140" t="s">
        <v>883</v>
      </c>
      <c r="C71" s="35"/>
      <c r="D71" s="35"/>
      <c r="E71" s="35"/>
      <c r="F71" s="35"/>
      <c r="G71" s="35"/>
      <c r="H71" s="39"/>
      <c r="I71" s="35"/>
      <c r="J71" s="37"/>
      <c r="K71" s="37"/>
      <c r="L71" s="37"/>
      <c r="M71" s="37"/>
      <c r="N71" s="37"/>
      <c r="O71" s="37"/>
      <c r="P71" s="37"/>
      <c r="Q71" s="35"/>
      <c r="R71" s="35"/>
      <c r="S71" s="35"/>
      <c r="T71" s="35"/>
      <c r="U71" s="35"/>
    </row>
    <row r="72" spans="1:21" s="38" customFormat="1" ht="27.6" x14ac:dyDescent="0.25">
      <c r="A72" s="35"/>
      <c r="B72" s="140" t="s">
        <v>890</v>
      </c>
      <c r="C72" s="35"/>
      <c r="D72" s="35"/>
      <c r="E72" s="35"/>
      <c r="F72" s="35"/>
      <c r="G72" s="35"/>
      <c r="H72" s="39"/>
      <c r="I72" s="35"/>
      <c r="J72" s="37"/>
      <c r="K72" s="37"/>
      <c r="L72" s="37"/>
      <c r="M72" s="37"/>
      <c r="N72" s="37"/>
      <c r="O72" s="37"/>
      <c r="P72" s="37"/>
      <c r="Q72" s="35"/>
      <c r="R72" s="35"/>
      <c r="S72" s="35"/>
      <c r="T72" s="35"/>
      <c r="U72" s="35"/>
    </row>
    <row r="73" spans="1:21" s="38" customFormat="1" ht="110.4" x14ac:dyDescent="0.25">
      <c r="A73" s="119"/>
      <c r="B73" s="119" t="s">
        <v>148</v>
      </c>
      <c r="C73" s="119" t="s">
        <v>149</v>
      </c>
      <c r="D73" s="35" t="s">
        <v>526</v>
      </c>
      <c r="E73" s="35" t="s">
        <v>106</v>
      </c>
      <c r="F73" s="35" t="s">
        <v>142</v>
      </c>
      <c r="G73" s="35" t="s">
        <v>107</v>
      </c>
      <c r="H73" s="36"/>
      <c r="I73" s="35"/>
      <c r="J73" s="37" t="s">
        <v>150</v>
      </c>
      <c r="K73" s="37" t="s">
        <v>620</v>
      </c>
      <c r="L73" s="37"/>
      <c r="M73" s="37"/>
      <c r="N73" s="37" t="s">
        <v>104</v>
      </c>
      <c r="O73" s="37"/>
      <c r="P73" s="37" t="s">
        <v>105</v>
      </c>
      <c r="Q73" s="35" t="s">
        <v>623</v>
      </c>
      <c r="R73" s="35">
        <v>511</v>
      </c>
      <c r="S73" s="35" t="s">
        <v>495</v>
      </c>
      <c r="T73" s="35" t="s">
        <v>421</v>
      </c>
      <c r="U73" s="35"/>
    </row>
    <row r="74" spans="1:21" s="38" customFormat="1" ht="110.4" x14ac:dyDescent="0.25">
      <c r="A74" s="35"/>
      <c r="B74" s="140" t="s">
        <v>151</v>
      </c>
      <c r="C74" s="35" t="s">
        <v>152</v>
      </c>
      <c r="D74" s="35" t="s">
        <v>524</v>
      </c>
      <c r="E74" s="35" t="s">
        <v>97</v>
      </c>
      <c r="F74" s="35" t="s">
        <v>142</v>
      </c>
      <c r="G74" s="35" t="s">
        <v>153</v>
      </c>
      <c r="H74" s="39"/>
      <c r="I74" s="35"/>
      <c r="J74" s="37" t="s">
        <v>115</v>
      </c>
      <c r="K74" s="37" t="s">
        <v>616</v>
      </c>
      <c r="L74" s="37"/>
      <c r="M74" s="37"/>
      <c r="N74" s="37" t="s">
        <v>104</v>
      </c>
      <c r="O74" s="37"/>
      <c r="P74" s="37" t="s">
        <v>105</v>
      </c>
      <c r="Q74" s="35" t="s">
        <v>623</v>
      </c>
      <c r="R74" s="35">
        <v>511</v>
      </c>
      <c r="S74" s="35" t="s">
        <v>496</v>
      </c>
      <c r="T74" s="35" t="s">
        <v>421</v>
      </c>
      <c r="U74" s="35"/>
    </row>
    <row r="75" spans="1:21" s="38" customFormat="1" x14ac:dyDescent="0.25">
      <c r="A75" s="35"/>
      <c r="B75" s="140" t="s">
        <v>889</v>
      </c>
      <c r="C75" s="35"/>
      <c r="D75" s="35"/>
      <c r="E75" s="35"/>
      <c r="F75" s="35"/>
      <c r="G75" s="35"/>
      <c r="H75" s="39"/>
      <c r="I75" s="35"/>
      <c r="J75" s="37"/>
      <c r="K75" s="37"/>
      <c r="L75" s="37"/>
      <c r="M75" s="37"/>
      <c r="N75" s="37"/>
      <c r="O75" s="37"/>
      <c r="P75" s="37"/>
      <c r="Q75" s="35"/>
      <c r="R75" s="35"/>
      <c r="S75" s="35"/>
      <c r="T75" s="35"/>
      <c r="U75" s="35"/>
    </row>
    <row r="76" spans="1:21" s="38" customFormat="1" ht="82.8" x14ac:dyDescent="0.25">
      <c r="A76" s="35"/>
      <c r="B76" s="140" t="s">
        <v>651</v>
      </c>
      <c r="C76" s="35" t="s">
        <v>884</v>
      </c>
      <c r="D76" s="35" t="s">
        <v>787</v>
      </c>
      <c r="E76" s="35" t="s">
        <v>97</v>
      </c>
      <c r="F76" s="35" t="s">
        <v>136</v>
      </c>
      <c r="G76" s="35" t="s">
        <v>652</v>
      </c>
      <c r="H76" s="39"/>
      <c r="I76" s="35"/>
      <c r="J76" s="37"/>
      <c r="K76" s="37" t="s">
        <v>616</v>
      </c>
      <c r="L76" s="37"/>
      <c r="M76" s="37"/>
      <c r="N76" s="37" t="s">
        <v>138</v>
      </c>
      <c r="O76" s="37"/>
      <c r="P76" s="37" t="s">
        <v>105</v>
      </c>
      <c r="Q76" s="35" t="s">
        <v>623</v>
      </c>
      <c r="R76" s="35">
        <v>511</v>
      </c>
      <c r="S76" s="35" t="s">
        <v>641</v>
      </c>
      <c r="T76" s="35" t="s">
        <v>421</v>
      </c>
      <c r="U76" s="35"/>
    </row>
    <row r="77" spans="1:21" s="38" customFormat="1" ht="27.6" x14ac:dyDescent="0.25">
      <c r="A77" s="35"/>
      <c r="B77" s="140" t="s">
        <v>130</v>
      </c>
      <c r="C77" s="35" t="s">
        <v>131</v>
      </c>
      <c r="D77" s="35"/>
      <c r="E77" s="35" t="s">
        <v>106</v>
      </c>
      <c r="F77" s="35" t="s">
        <v>94</v>
      </c>
      <c r="G77" s="35" t="s">
        <v>132</v>
      </c>
      <c r="H77" s="39"/>
      <c r="I77" s="35"/>
      <c r="J77" s="37"/>
      <c r="K77" s="37"/>
      <c r="L77" s="37"/>
      <c r="M77" s="37"/>
      <c r="N77" s="37"/>
      <c r="O77" s="37"/>
      <c r="P77" s="37"/>
      <c r="Q77" s="35" t="s">
        <v>623</v>
      </c>
      <c r="R77" s="35">
        <v>511</v>
      </c>
      <c r="S77" s="35" t="s">
        <v>639</v>
      </c>
      <c r="T77" s="35" t="s">
        <v>109</v>
      </c>
      <c r="U77" s="35"/>
    </row>
    <row r="78" spans="1:21" s="38" customFormat="1" x14ac:dyDescent="0.25">
      <c r="A78" s="35"/>
      <c r="B78" s="140" t="s">
        <v>898</v>
      </c>
      <c r="C78" s="35"/>
      <c r="D78" s="35"/>
      <c r="E78" s="35"/>
      <c r="F78" s="35"/>
      <c r="G78" s="35"/>
      <c r="H78" s="39"/>
      <c r="I78" s="35"/>
      <c r="J78" s="37"/>
      <c r="K78" s="37"/>
      <c r="L78" s="37"/>
      <c r="M78" s="37"/>
      <c r="N78" s="37"/>
      <c r="O78" s="37"/>
      <c r="P78" s="37"/>
      <c r="Q78" s="35"/>
      <c r="R78" s="35"/>
      <c r="S78" s="35"/>
      <c r="T78" s="35"/>
      <c r="U78" s="35"/>
    </row>
    <row r="79" spans="1:21" s="38" customFormat="1" ht="27.6" x14ac:dyDescent="0.25">
      <c r="A79" s="35"/>
      <c r="B79" s="140" t="s">
        <v>879</v>
      </c>
      <c r="C79" s="35"/>
      <c r="D79" s="35"/>
      <c r="E79" s="35"/>
      <c r="F79" s="35"/>
      <c r="G79" s="35"/>
      <c r="H79" s="39"/>
      <c r="I79" s="35"/>
      <c r="J79" s="37"/>
      <c r="K79" s="37"/>
      <c r="L79" s="37"/>
      <c r="M79" s="37"/>
      <c r="N79" s="37"/>
      <c r="O79" s="37"/>
      <c r="P79" s="37"/>
      <c r="Q79" s="35"/>
      <c r="R79" s="35"/>
      <c r="S79" s="35"/>
      <c r="T79" s="35"/>
      <c r="U79" s="35"/>
    </row>
    <row r="80" spans="1:21" s="38" customFormat="1" ht="165.6" x14ac:dyDescent="0.25">
      <c r="A80" s="35"/>
      <c r="B80" s="140" t="s">
        <v>133</v>
      </c>
      <c r="C80" s="35" t="s">
        <v>134</v>
      </c>
      <c r="D80" s="35" t="s">
        <v>135</v>
      </c>
      <c r="E80" s="35" t="s">
        <v>97</v>
      </c>
      <c r="F80" s="35" t="s">
        <v>94</v>
      </c>
      <c r="G80" s="35" t="s">
        <v>111</v>
      </c>
      <c r="H80" s="39"/>
      <c r="I80" s="35"/>
      <c r="J80" s="37" t="s">
        <v>630</v>
      </c>
      <c r="K80" s="37" t="s">
        <v>611</v>
      </c>
      <c r="L80" s="37"/>
      <c r="M80" s="37"/>
      <c r="N80" s="37" t="s">
        <v>108</v>
      </c>
      <c r="O80" s="37"/>
      <c r="P80" s="37" t="s">
        <v>109</v>
      </c>
      <c r="Q80" s="35" t="s">
        <v>623</v>
      </c>
      <c r="R80" s="35">
        <v>511</v>
      </c>
      <c r="S80" s="35" t="s">
        <v>627</v>
      </c>
      <c r="T80" s="35" t="s">
        <v>420</v>
      </c>
      <c r="U80" s="35"/>
    </row>
    <row r="81" spans="1:26" s="38" customFormat="1" ht="165.6" x14ac:dyDescent="0.25">
      <c r="A81" s="35"/>
      <c r="B81" s="140" t="s">
        <v>779</v>
      </c>
      <c r="C81" s="35" t="s">
        <v>134</v>
      </c>
      <c r="D81" s="35" t="s">
        <v>135</v>
      </c>
      <c r="E81" s="35" t="s">
        <v>97</v>
      </c>
      <c r="F81" s="35" t="s">
        <v>94</v>
      </c>
      <c r="G81" s="35" t="s">
        <v>111</v>
      </c>
      <c r="H81" s="39"/>
      <c r="I81" s="35"/>
      <c r="J81" s="37" t="s">
        <v>630</v>
      </c>
      <c r="K81" s="37" t="s">
        <v>611</v>
      </c>
      <c r="L81" s="37"/>
      <c r="M81" s="37"/>
      <c r="N81" s="37" t="s">
        <v>108</v>
      </c>
      <c r="O81" s="37"/>
      <c r="P81" s="37" t="s">
        <v>109</v>
      </c>
      <c r="Q81" s="35" t="s">
        <v>623</v>
      </c>
      <c r="R81" s="35">
        <v>511</v>
      </c>
      <c r="S81" s="35" t="s">
        <v>627</v>
      </c>
      <c r="T81" s="35" t="s">
        <v>420</v>
      </c>
      <c r="U81" s="35"/>
    </row>
    <row r="82" spans="1:26" s="38" customFormat="1" ht="69" x14ac:dyDescent="0.25">
      <c r="A82" s="35"/>
      <c r="B82" s="140" t="s">
        <v>803</v>
      </c>
      <c r="C82" s="35" t="s">
        <v>127</v>
      </c>
      <c r="D82" s="35" t="s">
        <v>524</v>
      </c>
      <c r="E82" s="35" t="s">
        <v>97</v>
      </c>
      <c r="F82" s="35" t="s">
        <v>94</v>
      </c>
      <c r="G82" s="35" t="s">
        <v>114</v>
      </c>
      <c r="H82" s="40"/>
      <c r="I82" s="35"/>
      <c r="J82" s="37" t="s">
        <v>128</v>
      </c>
      <c r="K82" s="37" t="s">
        <v>610</v>
      </c>
      <c r="L82" s="37"/>
      <c r="M82" s="37"/>
      <c r="N82" s="37" t="s">
        <v>104</v>
      </c>
      <c r="O82" s="37"/>
      <c r="P82" s="37" t="s">
        <v>105</v>
      </c>
      <c r="Q82" s="35" t="s">
        <v>623</v>
      </c>
      <c r="R82" s="35">
        <v>511</v>
      </c>
      <c r="S82" s="35" t="s">
        <v>141</v>
      </c>
      <c r="T82" s="35" t="s">
        <v>420</v>
      </c>
      <c r="U82" s="35"/>
    </row>
    <row r="83" spans="1:26" s="38" customFormat="1" ht="27.6" x14ac:dyDescent="0.25">
      <c r="A83" s="35"/>
      <c r="B83" s="140" t="s">
        <v>778</v>
      </c>
      <c r="C83" s="35"/>
      <c r="D83" s="35" t="s">
        <v>525</v>
      </c>
      <c r="E83" s="35" t="s">
        <v>97</v>
      </c>
      <c r="F83" s="35" t="s">
        <v>142</v>
      </c>
      <c r="G83" s="35" t="s">
        <v>94</v>
      </c>
      <c r="H83" s="39"/>
      <c r="I83" s="35"/>
      <c r="J83" s="37"/>
      <c r="K83" s="37"/>
      <c r="L83" s="37"/>
      <c r="M83" s="37"/>
      <c r="N83" s="37" t="s">
        <v>108</v>
      </c>
      <c r="O83" s="37"/>
      <c r="P83" s="37" t="s">
        <v>109</v>
      </c>
      <c r="Q83" s="35" t="s">
        <v>444</v>
      </c>
      <c r="R83" s="35" t="s">
        <v>444</v>
      </c>
      <c r="S83" s="35" t="s">
        <v>500</v>
      </c>
      <c r="T83" s="35" t="s">
        <v>109</v>
      </c>
      <c r="U83" s="35"/>
    </row>
    <row r="84" spans="1:26" s="38" customFormat="1" x14ac:dyDescent="0.25">
      <c r="A84" s="35"/>
      <c r="B84" s="140" t="s">
        <v>212</v>
      </c>
      <c r="C84" s="35"/>
      <c r="D84" s="35"/>
      <c r="E84" s="35"/>
      <c r="F84" s="35"/>
      <c r="G84" s="35"/>
      <c r="H84" s="39"/>
      <c r="I84" s="35"/>
      <c r="J84" s="37"/>
      <c r="K84" s="37"/>
      <c r="L84" s="37"/>
      <c r="M84" s="37"/>
      <c r="N84" s="37"/>
      <c r="O84" s="37"/>
      <c r="P84" s="37"/>
      <c r="Q84" s="35"/>
      <c r="R84" s="35"/>
      <c r="S84" s="35"/>
      <c r="T84" s="35"/>
      <c r="U84" s="35"/>
    </row>
    <row r="85" spans="1:26" s="38" customFormat="1" x14ac:dyDescent="0.25">
      <c r="A85" s="35"/>
      <c r="B85" s="140" t="s">
        <v>758</v>
      </c>
      <c r="C85" s="35"/>
      <c r="D85" s="35"/>
      <c r="E85" s="35"/>
      <c r="F85" s="35"/>
      <c r="G85" s="35"/>
      <c r="H85" s="39"/>
      <c r="I85" s="35"/>
      <c r="J85" s="37"/>
      <c r="K85" s="37"/>
      <c r="L85" s="37"/>
      <c r="M85" s="37"/>
      <c r="N85" s="37"/>
      <c r="O85" s="37"/>
      <c r="P85" s="37"/>
      <c r="Q85" s="35"/>
      <c r="R85" s="35"/>
      <c r="S85" s="35"/>
      <c r="T85" s="35"/>
      <c r="U85" s="35"/>
    </row>
    <row r="86" spans="1:26" s="38" customFormat="1" ht="27.6" x14ac:dyDescent="0.25">
      <c r="A86" s="35"/>
      <c r="B86" s="140" t="s">
        <v>773</v>
      </c>
      <c r="C86" s="35" t="s">
        <v>774</v>
      </c>
      <c r="D86" s="35"/>
      <c r="E86" s="35" t="s">
        <v>97</v>
      </c>
      <c r="F86" s="35" t="s">
        <v>94</v>
      </c>
      <c r="G86" s="35" t="s">
        <v>132</v>
      </c>
      <c r="H86" s="39"/>
      <c r="I86" s="35"/>
      <c r="J86" s="37"/>
      <c r="K86" s="37"/>
      <c r="L86" s="37"/>
      <c r="M86" s="37"/>
      <c r="N86" s="37"/>
      <c r="O86" s="37"/>
      <c r="P86" s="37"/>
      <c r="Q86" s="35" t="s">
        <v>623</v>
      </c>
      <c r="R86" s="35">
        <v>511</v>
      </c>
      <c r="S86" s="35" t="s">
        <v>639</v>
      </c>
      <c r="T86" s="35" t="s">
        <v>109</v>
      </c>
      <c r="U86" s="35"/>
    </row>
    <row r="87" spans="1:26" s="38" customFormat="1" ht="27.6" x14ac:dyDescent="0.25">
      <c r="A87" s="35"/>
      <c r="B87" s="140" t="s">
        <v>769</v>
      </c>
      <c r="C87" s="35" t="s">
        <v>771</v>
      </c>
      <c r="D87" s="35"/>
      <c r="E87" s="35" t="s">
        <v>97</v>
      </c>
      <c r="F87" s="35" t="s">
        <v>94</v>
      </c>
      <c r="G87" s="35" t="s">
        <v>132</v>
      </c>
      <c r="H87" s="39"/>
      <c r="I87" s="35"/>
      <c r="J87" s="37"/>
      <c r="K87" s="37"/>
      <c r="L87" s="37"/>
      <c r="M87" s="37"/>
      <c r="N87" s="37"/>
      <c r="O87" s="37"/>
      <c r="P87" s="37"/>
      <c r="Q87" s="35" t="s">
        <v>623</v>
      </c>
      <c r="R87" s="35">
        <v>511</v>
      </c>
      <c r="S87" s="35" t="s">
        <v>639</v>
      </c>
      <c r="T87" s="35" t="s">
        <v>109</v>
      </c>
      <c r="U87" s="35"/>
    </row>
    <row r="88" spans="1:26" x14ac:dyDescent="0.25">
      <c r="S88" s="30"/>
      <c r="T88" s="30"/>
      <c r="V88" s="41"/>
      <c r="W88" s="41"/>
      <c r="X88" s="41"/>
      <c r="Y88" s="41"/>
      <c r="Z88" s="41"/>
    </row>
    <row r="89" spans="1:26" x14ac:dyDescent="0.25">
      <c r="S89" s="30"/>
      <c r="T89" s="30"/>
      <c r="V89" s="41"/>
      <c r="W89" s="41"/>
      <c r="X89" s="41"/>
      <c r="Y89" s="41"/>
      <c r="Z89" s="41"/>
    </row>
    <row r="90" spans="1:26" x14ac:dyDescent="0.25">
      <c r="S90" s="30"/>
      <c r="T90" s="30"/>
      <c r="V90" s="41"/>
      <c r="W90" s="41"/>
      <c r="X90" s="41"/>
      <c r="Y90" s="41"/>
      <c r="Z90" s="41"/>
    </row>
    <row r="91" spans="1:26" x14ac:dyDescent="0.25">
      <c r="S91" s="30"/>
      <c r="T91" s="30"/>
      <c r="V91" s="41"/>
      <c r="W91" s="41"/>
      <c r="X91" s="41"/>
      <c r="Y91" s="41"/>
      <c r="Z91" s="41"/>
    </row>
    <row r="92" spans="1:26" x14ac:dyDescent="0.25">
      <c r="S92" s="30"/>
      <c r="T92" s="30"/>
      <c r="V92" s="41"/>
      <c r="W92" s="41"/>
      <c r="X92" s="41"/>
      <c r="Y92" s="41"/>
      <c r="Z92" s="41"/>
    </row>
    <row r="93" spans="1:26" x14ac:dyDescent="0.25">
      <c r="S93" s="30"/>
      <c r="T93" s="30"/>
      <c r="V93" s="41"/>
      <c r="W93" s="41"/>
      <c r="X93" s="41"/>
      <c r="Y93" s="41"/>
      <c r="Z93" s="41"/>
    </row>
    <row r="94" spans="1:26" x14ac:dyDescent="0.25">
      <c r="S94" s="30"/>
      <c r="T94" s="30"/>
      <c r="V94" s="41"/>
      <c r="W94" s="41"/>
      <c r="X94" s="41"/>
      <c r="Y94" s="41"/>
      <c r="Z94" s="41"/>
    </row>
    <row r="95" spans="1:26" x14ac:dyDescent="0.25">
      <c r="S95" s="30"/>
      <c r="T95" s="30"/>
      <c r="V95" s="41"/>
      <c r="W95" s="41"/>
      <c r="X95" s="41"/>
      <c r="Y95" s="41"/>
      <c r="Z95" s="41"/>
    </row>
    <row r="96" spans="1:26" x14ac:dyDescent="0.25">
      <c r="S96" s="30"/>
      <c r="T96" s="30"/>
      <c r="V96" s="41"/>
      <c r="W96" s="41"/>
      <c r="X96" s="41"/>
      <c r="Y96" s="41"/>
      <c r="Z96" s="41"/>
    </row>
    <row r="97" spans="19:26" x14ac:dyDescent="0.25">
      <c r="S97" s="30"/>
      <c r="T97" s="30"/>
      <c r="V97" s="41"/>
      <c r="W97" s="41"/>
      <c r="X97" s="41"/>
      <c r="Y97" s="41"/>
      <c r="Z97" s="41"/>
    </row>
    <row r="98" spans="19:26" x14ac:dyDescent="0.25">
      <c r="S98" s="30"/>
      <c r="T98" s="30"/>
      <c r="V98" s="41"/>
      <c r="W98" s="41"/>
      <c r="X98" s="41"/>
      <c r="Y98" s="41"/>
      <c r="Z98" s="41"/>
    </row>
    <row r="99" spans="19:26" x14ac:dyDescent="0.25">
      <c r="S99" s="30"/>
      <c r="T99" s="30"/>
      <c r="V99" s="41"/>
      <c r="W99" s="41"/>
      <c r="X99" s="41"/>
      <c r="Y99" s="41"/>
      <c r="Z99" s="41"/>
    </row>
    <row r="100" spans="19:26" x14ac:dyDescent="0.25">
      <c r="S100" s="30"/>
      <c r="T100" s="30"/>
      <c r="V100" s="41"/>
      <c r="W100" s="41"/>
      <c r="X100" s="41"/>
      <c r="Y100" s="41"/>
      <c r="Z100" s="41"/>
    </row>
    <row r="101" spans="19:26" x14ac:dyDescent="0.25">
      <c r="S101" s="30"/>
      <c r="T101" s="30"/>
      <c r="V101" s="41"/>
      <c r="W101" s="41"/>
      <c r="X101" s="41"/>
      <c r="Y101" s="41"/>
      <c r="Z101" s="41"/>
    </row>
    <row r="102" spans="19:26" x14ac:dyDescent="0.25">
      <c r="S102" s="30"/>
      <c r="T102" s="30"/>
      <c r="V102" s="41"/>
      <c r="W102" s="41"/>
      <c r="X102" s="41"/>
      <c r="Y102" s="41"/>
      <c r="Z102" s="41"/>
    </row>
    <row r="103" spans="19:26" x14ac:dyDescent="0.25">
      <c r="S103" s="30"/>
      <c r="T103" s="30"/>
      <c r="V103" s="41"/>
      <c r="W103" s="41"/>
      <c r="X103" s="41"/>
      <c r="Y103" s="41"/>
      <c r="Z103" s="41"/>
    </row>
    <row r="104" spans="19:26" x14ac:dyDescent="0.25">
      <c r="S104" s="30"/>
      <c r="T104" s="30"/>
      <c r="V104" s="41"/>
      <c r="W104" s="41"/>
      <c r="X104" s="41"/>
      <c r="Y104" s="41"/>
      <c r="Z104" s="41"/>
    </row>
    <row r="105" spans="19:26" x14ac:dyDescent="0.25">
      <c r="S105" s="30"/>
      <c r="T105" s="30"/>
      <c r="V105" s="41"/>
      <c r="W105" s="41"/>
      <c r="X105" s="41"/>
      <c r="Y105" s="41"/>
      <c r="Z105" s="41"/>
    </row>
    <row r="106" spans="19:26" x14ac:dyDescent="0.25">
      <c r="S106" s="30"/>
      <c r="T106" s="30"/>
      <c r="V106" s="41"/>
      <c r="W106" s="41"/>
      <c r="X106" s="41"/>
      <c r="Y106" s="41"/>
      <c r="Z106" s="41"/>
    </row>
    <row r="107" spans="19:26" x14ac:dyDescent="0.25">
      <c r="S107" s="30"/>
      <c r="T107" s="30"/>
      <c r="V107" s="41"/>
      <c r="W107" s="41"/>
      <c r="X107" s="41"/>
      <c r="Y107" s="41"/>
      <c r="Z107" s="41"/>
    </row>
    <row r="108" spans="19:26" x14ac:dyDescent="0.25">
      <c r="S108" s="30"/>
      <c r="T108" s="30"/>
      <c r="V108" s="41"/>
      <c r="W108" s="41"/>
      <c r="X108" s="41"/>
      <c r="Y108" s="41"/>
      <c r="Z108" s="41"/>
    </row>
    <row r="109" spans="19:26" x14ac:dyDescent="0.25">
      <c r="S109" s="30"/>
      <c r="T109" s="30"/>
      <c r="V109" s="41"/>
      <c r="W109" s="41"/>
      <c r="X109" s="41"/>
      <c r="Y109" s="41"/>
      <c r="Z109" s="41"/>
    </row>
    <row r="110" spans="19:26" x14ac:dyDescent="0.25">
      <c r="S110" s="30"/>
      <c r="T110" s="30"/>
      <c r="V110" s="41"/>
      <c r="W110" s="41"/>
      <c r="X110" s="41"/>
      <c r="Y110" s="41"/>
      <c r="Z110" s="41"/>
    </row>
    <row r="111" spans="19:26" x14ac:dyDescent="0.25">
      <c r="S111" s="30"/>
      <c r="T111" s="30"/>
      <c r="V111" s="41"/>
      <c r="W111" s="41"/>
      <c r="X111" s="41"/>
      <c r="Y111" s="41"/>
      <c r="Z111" s="41"/>
    </row>
    <row r="112" spans="19:26" x14ac:dyDescent="0.25">
      <c r="S112" s="30"/>
      <c r="T112" s="30"/>
      <c r="V112" s="41"/>
      <c r="W112" s="41"/>
      <c r="X112" s="41"/>
      <c r="Y112" s="41"/>
      <c r="Z112" s="41"/>
    </row>
    <row r="113" spans="19:26" x14ac:dyDescent="0.25">
      <c r="S113" s="30"/>
      <c r="T113" s="30"/>
      <c r="V113" s="41"/>
      <c r="W113" s="41"/>
      <c r="X113" s="41"/>
      <c r="Y113" s="41"/>
      <c r="Z113" s="41"/>
    </row>
    <row r="114" spans="19:26" x14ac:dyDescent="0.25">
      <c r="S114" s="30"/>
      <c r="T114" s="30"/>
      <c r="V114" s="41"/>
      <c r="W114" s="41"/>
      <c r="X114" s="41"/>
      <c r="Y114" s="41"/>
      <c r="Z114" s="41"/>
    </row>
    <row r="115" spans="19:26" x14ac:dyDescent="0.25">
      <c r="S115" s="30"/>
      <c r="T115" s="30"/>
      <c r="V115" s="41"/>
      <c r="W115" s="41"/>
      <c r="X115" s="41"/>
      <c r="Y115" s="41"/>
      <c r="Z115" s="41"/>
    </row>
    <row r="116" spans="19:26" x14ac:dyDescent="0.25">
      <c r="S116" s="30"/>
      <c r="T116" s="30"/>
      <c r="V116" s="41"/>
      <c r="W116" s="41"/>
      <c r="X116" s="41"/>
      <c r="Y116" s="41"/>
      <c r="Z116" s="41"/>
    </row>
    <row r="117" spans="19:26" x14ac:dyDescent="0.25">
      <c r="S117" s="30"/>
      <c r="T117" s="30"/>
      <c r="V117" s="41"/>
      <c r="W117" s="41"/>
      <c r="X117" s="41"/>
      <c r="Y117" s="41"/>
      <c r="Z117" s="41"/>
    </row>
    <row r="118" spans="19:26" x14ac:dyDescent="0.25">
      <c r="S118" s="30"/>
      <c r="T118" s="30"/>
      <c r="V118" s="41"/>
      <c r="W118" s="41"/>
      <c r="X118" s="41"/>
      <c r="Y118" s="41"/>
      <c r="Z118" s="41"/>
    </row>
    <row r="119" spans="19:26" x14ac:dyDescent="0.25">
      <c r="S119" s="30"/>
      <c r="T119" s="30"/>
      <c r="V119" s="41"/>
      <c r="W119" s="41"/>
      <c r="X119" s="41"/>
      <c r="Y119" s="41"/>
      <c r="Z119" s="41"/>
    </row>
    <row r="120" spans="19:26" x14ac:dyDescent="0.25">
      <c r="S120" s="30"/>
      <c r="T120" s="30"/>
      <c r="V120" s="41"/>
      <c r="W120" s="41"/>
      <c r="X120" s="41"/>
      <c r="Y120" s="41"/>
      <c r="Z120" s="41"/>
    </row>
    <row r="121" spans="19:26" x14ac:dyDescent="0.25">
      <c r="S121" s="30"/>
      <c r="T121" s="30"/>
      <c r="V121" s="41"/>
      <c r="W121" s="41"/>
      <c r="X121" s="41"/>
      <c r="Y121" s="41"/>
      <c r="Z121" s="41"/>
    </row>
    <row r="122" spans="19:26" x14ac:dyDescent="0.25">
      <c r="S122" s="30"/>
      <c r="T122" s="30"/>
      <c r="V122" s="41"/>
      <c r="W122" s="41"/>
      <c r="X122" s="41"/>
      <c r="Y122" s="41"/>
      <c r="Z122" s="41"/>
    </row>
    <row r="123" spans="19:26" x14ac:dyDescent="0.25">
      <c r="S123" s="30"/>
      <c r="T123" s="30"/>
      <c r="V123" s="41"/>
      <c r="W123" s="41"/>
      <c r="X123" s="41"/>
      <c r="Y123" s="41"/>
      <c r="Z123" s="41"/>
    </row>
    <row r="124" spans="19:26" x14ac:dyDescent="0.25">
      <c r="S124" s="30"/>
      <c r="T124" s="30"/>
      <c r="V124" s="41"/>
      <c r="W124" s="41"/>
      <c r="X124" s="41"/>
      <c r="Y124" s="41"/>
      <c r="Z124" s="41"/>
    </row>
    <row r="125" spans="19:26" x14ac:dyDescent="0.25">
      <c r="S125" s="30"/>
      <c r="T125" s="30"/>
      <c r="V125" s="41"/>
      <c r="W125" s="41"/>
      <c r="X125" s="41"/>
      <c r="Y125" s="41"/>
      <c r="Z125" s="41"/>
    </row>
    <row r="126" spans="19:26" x14ac:dyDescent="0.25">
      <c r="S126" s="30"/>
      <c r="T126" s="30"/>
      <c r="V126" s="41"/>
      <c r="W126" s="41"/>
      <c r="X126" s="41"/>
      <c r="Y126" s="41"/>
      <c r="Z126" s="41"/>
    </row>
    <row r="127" spans="19:26" x14ac:dyDescent="0.25">
      <c r="S127" s="30"/>
      <c r="T127" s="30"/>
      <c r="V127" s="41"/>
      <c r="W127" s="41"/>
      <c r="X127" s="41"/>
      <c r="Y127" s="41"/>
      <c r="Z127" s="41"/>
    </row>
    <row r="128" spans="19:26" x14ac:dyDescent="0.25">
      <c r="S128" s="30"/>
      <c r="T128" s="30"/>
      <c r="V128" s="41"/>
      <c r="W128" s="41"/>
      <c r="X128" s="41"/>
      <c r="Y128" s="41"/>
      <c r="Z128" s="41"/>
    </row>
    <row r="129" spans="19:26" x14ac:dyDescent="0.25">
      <c r="S129" s="30"/>
      <c r="T129" s="30"/>
      <c r="V129" s="41"/>
      <c r="W129" s="41"/>
      <c r="X129" s="41"/>
      <c r="Y129" s="41"/>
      <c r="Z129" s="41"/>
    </row>
    <row r="130" spans="19:26" x14ac:dyDescent="0.25">
      <c r="S130" s="30"/>
      <c r="T130" s="30"/>
      <c r="V130" s="41"/>
      <c r="W130" s="41"/>
      <c r="X130" s="41"/>
      <c r="Y130" s="41"/>
      <c r="Z130" s="41"/>
    </row>
    <row r="131" spans="19:26" x14ac:dyDescent="0.25">
      <c r="S131" s="30"/>
      <c r="T131" s="30"/>
      <c r="V131" s="41"/>
      <c r="W131" s="41"/>
      <c r="X131" s="41"/>
      <c r="Y131" s="41"/>
      <c r="Z131" s="41"/>
    </row>
    <row r="132" spans="19:26" x14ac:dyDescent="0.25">
      <c r="S132" s="30"/>
      <c r="T132" s="30"/>
      <c r="V132" s="41"/>
      <c r="W132" s="41"/>
      <c r="X132" s="41"/>
      <c r="Y132" s="41"/>
      <c r="Z132" s="41"/>
    </row>
    <row r="133" spans="19:26" x14ac:dyDescent="0.25">
      <c r="S133" s="30"/>
      <c r="T133" s="30"/>
      <c r="V133" s="41"/>
      <c r="W133" s="41"/>
      <c r="X133" s="41"/>
      <c r="Y133" s="41"/>
      <c r="Z133" s="41"/>
    </row>
    <row r="134" spans="19:26" x14ac:dyDescent="0.25">
      <c r="S134" s="30"/>
      <c r="T134" s="30"/>
      <c r="V134" s="41"/>
      <c r="W134" s="41"/>
      <c r="X134" s="41"/>
      <c r="Y134" s="41"/>
      <c r="Z134" s="41"/>
    </row>
    <row r="135" spans="19:26" x14ac:dyDescent="0.25">
      <c r="S135" s="30"/>
      <c r="T135" s="30"/>
      <c r="V135" s="41"/>
      <c r="W135" s="41"/>
      <c r="X135" s="41"/>
      <c r="Y135" s="41"/>
      <c r="Z135" s="41"/>
    </row>
    <row r="136" spans="19:26" x14ac:dyDescent="0.25">
      <c r="S136" s="30"/>
      <c r="T136" s="30"/>
      <c r="V136" s="41"/>
      <c r="W136" s="41"/>
      <c r="X136" s="41"/>
      <c r="Y136" s="41"/>
      <c r="Z136" s="41"/>
    </row>
    <row r="137" spans="19:26" x14ac:dyDescent="0.25">
      <c r="S137" s="30"/>
      <c r="T137" s="30"/>
      <c r="V137" s="41"/>
      <c r="W137" s="41"/>
      <c r="X137" s="41"/>
      <c r="Y137" s="41"/>
      <c r="Z137" s="41"/>
    </row>
    <row r="138" spans="19:26" x14ac:dyDescent="0.25">
      <c r="S138" s="30"/>
      <c r="T138" s="30"/>
      <c r="V138" s="41"/>
      <c r="W138" s="41"/>
      <c r="X138" s="41"/>
      <c r="Y138" s="41"/>
      <c r="Z138" s="41"/>
    </row>
    <row r="139" spans="19:26" x14ac:dyDescent="0.25">
      <c r="S139" s="30"/>
      <c r="T139" s="30"/>
      <c r="V139" s="41"/>
      <c r="W139" s="41"/>
      <c r="X139" s="41"/>
      <c r="Y139" s="41"/>
      <c r="Z139" s="41"/>
    </row>
    <row r="140" spans="19:26" x14ac:dyDescent="0.25">
      <c r="S140" s="30"/>
      <c r="T140" s="30"/>
      <c r="V140" s="41"/>
      <c r="W140" s="41"/>
      <c r="X140" s="41"/>
      <c r="Y140" s="41"/>
      <c r="Z140" s="41"/>
    </row>
    <row r="141" spans="19:26" x14ac:dyDescent="0.25">
      <c r="S141" s="30"/>
      <c r="T141" s="30"/>
      <c r="V141" s="41"/>
      <c r="W141" s="41"/>
      <c r="X141" s="41"/>
      <c r="Y141" s="41"/>
      <c r="Z141" s="41"/>
    </row>
    <row r="142" spans="19:26" x14ac:dyDescent="0.25">
      <c r="S142" s="30"/>
      <c r="T142" s="30"/>
      <c r="V142" s="41"/>
      <c r="W142" s="41"/>
      <c r="X142" s="41"/>
      <c r="Y142" s="41"/>
      <c r="Z142" s="41"/>
    </row>
    <row r="143" spans="19:26" x14ac:dyDescent="0.25">
      <c r="S143" s="30"/>
      <c r="T143" s="30"/>
      <c r="V143" s="41"/>
      <c r="W143" s="41"/>
      <c r="X143" s="41"/>
      <c r="Y143" s="41"/>
      <c r="Z143" s="41"/>
    </row>
    <row r="144" spans="19:26" x14ac:dyDescent="0.25">
      <c r="S144" s="30"/>
      <c r="T144" s="30"/>
      <c r="V144" s="41"/>
      <c r="W144" s="41"/>
      <c r="X144" s="41"/>
      <c r="Y144" s="41"/>
      <c r="Z144" s="41"/>
    </row>
    <row r="145" spans="19:26" x14ac:dyDescent="0.25">
      <c r="S145" s="30"/>
      <c r="T145" s="30"/>
      <c r="V145" s="41"/>
      <c r="W145" s="41"/>
      <c r="X145" s="41"/>
      <c r="Y145" s="41"/>
      <c r="Z145" s="41"/>
    </row>
    <row r="146" spans="19:26" x14ac:dyDescent="0.25">
      <c r="S146" s="30"/>
      <c r="T146" s="30"/>
      <c r="V146" s="41"/>
      <c r="W146" s="41"/>
      <c r="X146" s="41"/>
      <c r="Y146" s="41"/>
      <c r="Z146" s="41"/>
    </row>
    <row r="147" spans="19:26" x14ac:dyDescent="0.25">
      <c r="S147" s="30"/>
      <c r="T147" s="30"/>
      <c r="V147" s="41"/>
      <c r="W147" s="41"/>
      <c r="X147" s="41"/>
      <c r="Y147" s="41"/>
      <c r="Z147" s="41"/>
    </row>
    <row r="148" spans="19:26" x14ac:dyDescent="0.25">
      <c r="S148" s="30"/>
      <c r="T148" s="30"/>
      <c r="V148" s="41"/>
      <c r="W148" s="41"/>
      <c r="X148" s="41"/>
      <c r="Y148" s="41"/>
      <c r="Z148" s="41"/>
    </row>
    <row r="149" spans="19:26" x14ac:dyDescent="0.25">
      <c r="S149" s="30"/>
      <c r="T149" s="30"/>
      <c r="V149" s="41"/>
      <c r="W149" s="41"/>
      <c r="X149" s="41"/>
      <c r="Y149" s="41"/>
      <c r="Z149" s="41"/>
    </row>
    <row r="150" spans="19:26" x14ac:dyDescent="0.25">
      <c r="S150" s="30"/>
      <c r="T150" s="30"/>
      <c r="V150" s="41"/>
      <c r="W150" s="41"/>
      <c r="X150" s="41"/>
      <c r="Y150" s="41"/>
      <c r="Z150" s="41"/>
    </row>
    <row r="151" spans="19:26" x14ac:dyDescent="0.25">
      <c r="S151" s="30"/>
      <c r="T151" s="30"/>
      <c r="V151" s="41"/>
      <c r="W151" s="41"/>
      <c r="X151" s="41"/>
      <c r="Y151" s="41"/>
      <c r="Z151" s="41"/>
    </row>
    <row r="152" spans="19:26" x14ac:dyDescent="0.25">
      <c r="S152" s="30"/>
      <c r="T152" s="30"/>
      <c r="V152" s="41"/>
      <c r="W152" s="41"/>
      <c r="X152" s="41"/>
      <c r="Y152" s="41"/>
      <c r="Z152" s="41"/>
    </row>
    <row r="153" spans="19:26" x14ac:dyDescent="0.25">
      <c r="S153" s="30"/>
      <c r="T153" s="30"/>
      <c r="V153" s="41"/>
      <c r="W153" s="41"/>
      <c r="X153" s="41"/>
      <c r="Y153" s="41"/>
      <c r="Z153" s="41"/>
    </row>
    <row r="154" spans="19:26" x14ac:dyDescent="0.25">
      <c r="S154" s="30"/>
      <c r="T154" s="30"/>
      <c r="V154" s="41"/>
      <c r="W154" s="41"/>
      <c r="X154" s="41"/>
      <c r="Y154" s="41"/>
      <c r="Z154" s="41"/>
    </row>
    <row r="155" spans="19:26" x14ac:dyDescent="0.25">
      <c r="S155" s="30"/>
      <c r="T155" s="30"/>
      <c r="V155" s="41"/>
      <c r="W155" s="41"/>
      <c r="X155" s="41"/>
      <c r="Y155" s="41"/>
      <c r="Z155" s="41"/>
    </row>
    <row r="156" spans="19:26" x14ac:dyDescent="0.25">
      <c r="S156" s="30"/>
      <c r="T156" s="30"/>
      <c r="V156" s="41"/>
      <c r="W156" s="41"/>
      <c r="X156" s="41"/>
      <c r="Y156" s="41"/>
      <c r="Z156" s="41"/>
    </row>
    <row r="157" spans="19:26" x14ac:dyDescent="0.25">
      <c r="S157" s="30"/>
      <c r="T157" s="30"/>
      <c r="V157" s="41"/>
      <c r="W157" s="41"/>
      <c r="X157" s="41"/>
      <c r="Y157" s="41"/>
      <c r="Z157" s="41"/>
    </row>
    <row r="158" spans="19:26" x14ac:dyDescent="0.25">
      <c r="S158" s="30"/>
      <c r="T158" s="30"/>
      <c r="V158" s="41"/>
      <c r="W158" s="41"/>
      <c r="X158" s="41"/>
      <c r="Y158" s="41"/>
      <c r="Z158" s="41"/>
    </row>
    <row r="159" spans="19:26" x14ac:dyDescent="0.25">
      <c r="S159" s="30"/>
      <c r="T159" s="30"/>
      <c r="V159" s="41"/>
      <c r="W159" s="41"/>
      <c r="X159" s="41"/>
      <c r="Y159" s="41"/>
      <c r="Z159" s="41"/>
    </row>
    <row r="160" spans="19:26" x14ac:dyDescent="0.25">
      <c r="S160" s="30"/>
      <c r="T160" s="30"/>
      <c r="V160" s="41"/>
      <c r="W160" s="41"/>
      <c r="X160" s="41"/>
      <c r="Y160" s="41"/>
      <c r="Z160" s="41"/>
    </row>
    <row r="161" spans="19:26" x14ac:dyDescent="0.25">
      <c r="S161" s="30"/>
      <c r="T161" s="30"/>
      <c r="V161" s="41"/>
      <c r="W161" s="41"/>
      <c r="X161" s="41"/>
      <c r="Y161" s="41"/>
      <c r="Z161" s="41"/>
    </row>
    <row r="162" spans="19:26" x14ac:dyDescent="0.25">
      <c r="S162" s="30"/>
      <c r="T162" s="30"/>
      <c r="V162" s="41"/>
      <c r="W162" s="41"/>
      <c r="X162" s="41"/>
      <c r="Y162" s="41"/>
      <c r="Z162" s="41"/>
    </row>
    <row r="163" spans="19:26" x14ac:dyDescent="0.25">
      <c r="S163" s="30"/>
      <c r="T163" s="30"/>
      <c r="V163" s="41"/>
      <c r="W163" s="41"/>
      <c r="X163" s="41"/>
      <c r="Y163" s="41"/>
      <c r="Z163" s="41"/>
    </row>
    <row r="164" spans="19:26" x14ac:dyDescent="0.25">
      <c r="S164" s="30"/>
      <c r="T164" s="30"/>
      <c r="V164" s="41"/>
      <c r="W164" s="41"/>
      <c r="X164" s="41"/>
      <c r="Y164" s="41"/>
      <c r="Z164" s="41"/>
    </row>
    <row r="165" spans="19:26" x14ac:dyDescent="0.25">
      <c r="S165" s="30"/>
      <c r="T165" s="30"/>
      <c r="V165" s="41"/>
      <c r="W165" s="41"/>
      <c r="X165" s="41"/>
      <c r="Y165" s="41"/>
      <c r="Z165" s="41"/>
    </row>
    <row r="166" spans="19:26" x14ac:dyDescent="0.25">
      <c r="S166" s="30"/>
      <c r="T166" s="30"/>
      <c r="V166" s="41"/>
      <c r="W166" s="41"/>
      <c r="X166" s="41"/>
      <c r="Y166" s="41"/>
      <c r="Z166" s="41"/>
    </row>
    <row r="167" spans="19:26" x14ac:dyDescent="0.25">
      <c r="S167" s="30"/>
      <c r="T167" s="30"/>
      <c r="V167" s="41"/>
      <c r="W167" s="41"/>
      <c r="X167" s="41"/>
      <c r="Y167" s="41"/>
      <c r="Z167" s="41"/>
    </row>
    <row r="168" spans="19:26" x14ac:dyDescent="0.25">
      <c r="S168" s="30"/>
      <c r="T168" s="30"/>
      <c r="V168" s="41"/>
      <c r="W168" s="41"/>
      <c r="X168" s="41"/>
      <c r="Y168" s="41"/>
      <c r="Z168" s="41"/>
    </row>
    <row r="169" spans="19:26" x14ac:dyDescent="0.25">
      <c r="S169" s="30"/>
      <c r="T169" s="30"/>
      <c r="V169" s="41"/>
      <c r="W169" s="41"/>
      <c r="X169" s="41"/>
      <c r="Y169" s="41"/>
      <c r="Z169" s="41"/>
    </row>
    <row r="170" spans="19:26" x14ac:dyDescent="0.25">
      <c r="S170" s="30"/>
      <c r="T170" s="30"/>
      <c r="V170" s="41"/>
      <c r="W170" s="41"/>
      <c r="X170" s="41"/>
      <c r="Y170" s="41"/>
      <c r="Z170" s="41"/>
    </row>
    <row r="171" spans="19:26" x14ac:dyDescent="0.25">
      <c r="S171" s="30"/>
      <c r="T171" s="30"/>
      <c r="V171" s="41"/>
      <c r="W171" s="41"/>
      <c r="X171" s="41"/>
      <c r="Y171" s="41"/>
      <c r="Z171" s="41"/>
    </row>
    <row r="172" spans="19:26" x14ac:dyDescent="0.25">
      <c r="S172" s="30"/>
      <c r="T172" s="30"/>
      <c r="V172" s="41"/>
      <c r="W172" s="41"/>
      <c r="X172" s="41"/>
      <c r="Y172" s="41"/>
      <c r="Z172" s="41"/>
    </row>
    <row r="173" spans="19:26" x14ac:dyDescent="0.25">
      <c r="S173" s="30"/>
      <c r="T173" s="30"/>
      <c r="V173" s="41"/>
      <c r="W173" s="41"/>
      <c r="X173" s="41"/>
      <c r="Y173" s="41"/>
      <c r="Z173" s="41"/>
    </row>
    <row r="174" spans="19:26" x14ac:dyDescent="0.25">
      <c r="S174" s="30"/>
      <c r="T174" s="30"/>
      <c r="V174" s="41"/>
      <c r="W174" s="41"/>
      <c r="X174" s="41"/>
      <c r="Y174" s="41"/>
      <c r="Z174" s="41"/>
    </row>
    <row r="175" spans="19:26" x14ac:dyDescent="0.25">
      <c r="S175" s="30"/>
      <c r="T175" s="30"/>
      <c r="V175" s="41"/>
      <c r="W175" s="41"/>
      <c r="X175" s="41"/>
      <c r="Y175" s="41"/>
      <c r="Z175" s="41"/>
    </row>
    <row r="176" spans="19:26" x14ac:dyDescent="0.25">
      <c r="S176" s="30"/>
      <c r="T176" s="30"/>
      <c r="V176" s="41"/>
      <c r="W176" s="41"/>
      <c r="X176" s="41"/>
      <c r="Y176" s="41"/>
      <c r="Z176" s="41"/>
    </row>
    <row r="177" spans="19:26" x14ac:dyDescent="0.25">
      <c r="S177" s="30"/>
      <c r="T177" s="30"/>
      <c r="V177" s="41"/>
      <c r="W177" s="41"/>
      <c r="X177" s="41"/>
      <c r="Y177" s="41"/>
      <c r="Z177" s="41"/>
    </row>
    <row r="178" spans="19:26" x14ac:dyDescent="0.25">
      <c r="S178" s="30"/>
      <c r="T178" s="30"/>
      <c r="V178" s="41"/>
      <c r="W178" s="41"/>
      <c r="X178" s="41"/>
      <c r="Y178" s="41"/>
      <c r="Z178" s="41"/>
    </row>
    <row r="179" spans="19:26" x14ac:dyDescent="0.25">
      <c r="S179" s="30"/>
      <c r="T179" s="30"/>
      <c r="V179" s="41"/>
      <c r="W179" s="41"/>
      <c r="X179" s="41"/>
      <c r="Y179" s="41"/>
      <c r="Z179" s="41"/>
    </row>
    <row r="180" spans="19:26" x14ac:dyDescent="0.25">
      <c r="S180" s="30"/>
      <c r="T180" s="30"/>
      <c r="V180" s="41"/>
      <c r="W180" s="41"/>
      <c r="X180" s="41"/>
      <c r="Y180" s="41"/>
      <c r="Z180" s="41"/>
    </row>
    <row r="181" spans="19:26" x14ac:dyDescent="0.25">
      <c r="S181" s="30"/>
      <c r="T181" s="30"/>
      <c r="V181" s="41"/>
      <c r="W181" s="41"/>
      <c r="X181" s="41"/>
      <c r="Y181" s="41"/>
      <c r="Z181" s="41"/>
    </row>
    <row r="182" spans="19:26" x14ac:dyDescent="0.25">
      <c r="S182" s="30"/>
      <c r="T182" s="30"/>
      <c r="V182" s="41"/>
      <c r="W182" s="41"/>
      <c r="X182" s="41"/>
      <c r="Y182" s="41"/>
      <c r="Z182" s="41"/>
    </row>
    <row r="183" spans="19:26" x14ac:dyDescent="0.25">
      <c r="S183" s="30"/>
      <c r="T183" s="30"/>
      <c r="V183" s="41"/>
      <c r="W183" s="41"/>
      <c r="X183" s="41"/>
      <c r="Y183" s="41"/>
      <c r="Z183" s="41"/>
    </row>
    <row r="184" spans="19:26" x14ac:dyDescent="0.25">
      <c r="S184" s="30"/>
      <c r="T184" s="30"/>
      <c r="V184" s="41"/>
      <c r="W184" s="41"/>
      <c r="X184" s="41"/>
      <c r="Y184" s="41"/>
      <c r="Z184" s="41"/>
    </row>
    <row r="185" spans="19:26" x14ac:dyDescent="0.25">
      <c r="S185" s="30"/>
      <c r="T185" s="30"/>
      <c r="V185" s="41"/>
      <c r="W185" s="41"/>
      <c r="X185" s="41"/>
      <c r="Y185" s="41"/>
      <c r="Z185" s="41"/>
    </row>
    <row r="186" spans="19:26" x14ac:dyDescent="0.25">
      <c r="S186" s="30"/>
      <c r="T186" s="30"/>
      <c r="V186" s="41"/>
      <c r="W186" s="41"/>
      <c r="X186" s="41"/>
      <c r="Y186" s="41"/>
      <c r="Z186" s="41"/>
    </row>
    <row r="187" spans="19:26" x14ac:dyDescent="0.25">
      <c r="S187" s="30"/>
      <c r="T187" s="30"/>
      <c r="V187" s="41"/>
      <c r="W187" s="41"/>
      <c r="X187" s="41"/>
      <c r="Y187" s="41"/>
      <c r="Z187" s="41"/>
    </row>
    <row r="188" spans="19:26" x14ac:dyDescent="0.25">
      <c r="S188" s="30"/>
      <c r="T188" s="30"/>
      <c r="V188" s="41"/>
      <c r="W188" s="41"/>
      <c r="X188" s="41"/>
      <c r="Y188" s="41"/>
      <c r="Z188" s="41"/>
    </row>
    <row r="189" spans="19:26" x14ac:dyDescent="0.25">
      <c r="S189" s="30"/>
      <c r="T189" s="30"/>
      <c r="V189" s="41"/>
      <c r="W189" s="41"/>
      <c r="X189" s="41"/>
      <c r="Y189" s="41"/>
      <c r="Z189" s="41"/>
    </row>
    <row r="190" spans="19:26" x14ac:dyDescent="0.25">
      <c r="S190" s="30"/>
      <c r="T190" s="30"/>
      <c r="V190" s="41"/>
      <c r="W190" s="41"/>
      <c r="X190" s="41"/>
      <c r="Y190" s="41"/>
      <c r="Z190" s="41"/>
    </row>
    <row r="191" spans="19:26" x14ac:dyDescent="0.25">
      <c r="S191" s="30"/>
      <c r="T191" s="30"/>
      <c r="V191" s="41"/>
      <c r="W191" s="41"/>
      <c r="X191" s="41"/>
      <c r="Y191" s="41"/>
      <c r="Z191" s="41"/>
    </row>
    <row r="192" spans="19:26" x14ac:dyDescent="0.25">
      <c r="S192" s="30"/>
      <c r="T192" s="30"/>
      <c r="V192" s="41"/>
      <c r="W192" s="41"/>
      <c r="X192" s="41"/>
      <c r="Y192" s="41"/>
      <c r="Z192" s="41"/>
    </row>
    <row r="193" spans="19:26" x14ac:dyDescent="0.25">
      <c r="S193" s="30"/>
      <c r="T193" s="30"/>
      <c r="V193" s="41"/>
      <c r="W193" s="41"/>
      <c r="X193" s="41"/>
      <c r="Y193" s="41"/>
      <c r="Z193" s="41"/>
    </row>
    <row r="194" spans="19:26" x14ac:dyDescent="0.25">
      <c r="S194" s="30"/>
      <c r="T194" s="30"/>
      <c r="V194" s="41"/>
      <c r="W194" s="41"/>
      <c r="X194" s="41"/>
      <c r="Y194" s="41"/>
      <c r="Z194" s="41"/>
    </row>
    <row r="195" spans="19:26" x14ac:dyDescent="0.25">
      <c r="S195" s="30"/>
      <c r="T195" s="30"/>
      <c r="V195" s="41"/>
      <c r="W195" s="41"/>
      <c r="X195" s="41"/>
      <c r="Y195" s="41"/>
      <c r="Z195" s="41"/>
    </row>
    <row r="196" spans="19:26" x14ac:dyDescent="0.25">
      <c r="S196" s="30"/>
      <c r="T196" s="30"/>
      <c r="V196" s="41"/>
      <c r="W196" s="41"/>
      <c r="X196" s="41"/>
      <c r="Y196" s="41"/>
      <c r="Z196" s="41"/>
    </row>
    <row r="197" spans="19:26" x14ac:dyDescent="0.25">
      <c r="S197" s="30"/>
      <c r="T197" s="30"/>
      <c r="V197" s="41"/>
      <c r="W197" s="41"/>
      <c r="X197" s="41"/>
      <c r="Y197" s="41"/>
      <c r="Z197" s="41"/>
    </row>
    <row r="198" spans="19:26" x14ac:dyDescent="0.25">
      <c r="S198" s="30"/>
      <c r="T198" s="30"/>
      <c r="V198" s="41"/>
      <c r="W198" s="41"/>
      <c r="X198" s="41"/>
      <c r="Y198" s="41"/>
      <c r="Z198" s="41"/>
    </row>
    <row r="199" spans="19:26" x14ac:dyDescent="0.25">
      <c r="S199" s="30"/>
      <c r="T199" s="30"/>
      <c r="V199" s="41"/>
      <c r="W199" s="41"/>
      <c r="X199" s="41"/>
      <c r="Y199" s="41"/>
      <c r="Z199" s="41"/>
    </row>
    <row r="200" spans="19:26" x14ac:dyDescent="0.25">
      <c r="S200" s="30"/>
      <c r="T200" s="30"/>
      <c r="V200" s="41"/>
      <c r="W200" s="41"/>
      <c r="X200" s="41"/>
      <c r="Y200" s="41"/>
      <c r="Z200" s="41"/>
    </row>
    <row r="201" spans="19:26" x14ac:dyDescent="0.25">
      <c r="S201" s="30"/>
      <c r="T201" s="30"/>
      <c r="V201" s="41"/>
      <c r="W201" s="41"/>
      <c r="X201" s="41"/>
      <c r="Y201" s="41"/>
      <c r="Z201" s="41"/>
    </row>
    <row r="202" spans="19:26" x14ac:dyDescent="0.25">
      <c r="S202" s="30"/>
      <c r="T202" s="30"/>
      <c r="V202" s="41"/>
      <c r="W202" s="41"/>
      <c r="X202" s="41"/>
      <c r="Y202" s="41"/>
      <c r="Z202" s="41"/>
    </row>
    <row r="203" spans="19:26" x14ac:dyDescent="0.25">
      <c r="S203" s="30"/>
      <c r="T203" s="30"/>
      <c r="V203" s="41"/>
      <c r="W203" s="41"/>
      <c r="X203" s="41"/>
      <c r="Y203" s="41"/>
      <c r="Z203" s="41"/>
    </row>
    <row r="204" spans="19:26" x14ac:dyDescent="0.25">
      <c r="S204" s="30"/>
      <c r="T204" s="30"/>
      <c r="V204" s="41"/>
      <c r="W204" s="41"/>
      <c r="X204" s="41"/>
      <c r="Y204" s="41"/>
      <c r="Z204" s="41"/>
    </row>
    <row r="205" spans="19:26" x14ac:dyDescent="0.25">
      <c r="S205" s="30"/>
      <c r="T205" s="30"/>
      <c r="V205" s="41"/>
      <c r="W205" s="41"/>
      <c r="X205" s="41"/>
      <c r="Y205" s="41"/>
      <c r="Z205" s="41"/>
    </row>
    <row r="206" spans="19:26" x14ac:dyDescent="0.25">
      <c r="S206" s="30"/>
      <c r="T206" s="30"/>
      <c r="V206" s="41"/>
      <c r="W206" s="41"/>
      <c r="X206" s="41"/>
      <c r="Y206" s="41"/>
      <c r="Z206" s="41"/>
    </row>
    <row r="207" spans="19:26" x14ac:dyDescent="0.25">
      <c r="S207" s="30"/>
      <c r="T207" s="30"/>
      <c r="V207" s="41"/>
      <c r="W207" s="41"/>
      <c r="X207" s="41"/>
      <c r="Y207" s="41"/>
      <c r="Z207" s="41"/>
    </row>
    <row r="208" spans="19:26" x14ac:dyDescent="0.25">
      <c r="S208" s="30"/>
      <c r="T208" s="30"/>
      <c r="V208" s="41"/>
      <c r="W208" s="41"/>
      <c r="X208" s="41"/>
      <c r="Y208" s="41"/>
      <c r="Z208" s="41"/>
    </row>
    <row r="209" spans="19:26" x14ac:dyDescent="0.25">
      <c r="S209" s="30"/>
      <c r="T209" s="30"/>
      <c r="V209" s="41"/>
      <c r="W209" s="41"/>
      <c r="X209" s="41"/>
      <c r="Y209" s="41"/>
      <c r="Z209" s="41"/>
    </row>
    <row r="210" spans="19:26" x14ac:dyDescent="0.25">
      <c r="S210" s="30"/>
      <c r="T210" s="30"/>
      <c r="V210" s="41"/>
      <c r="W210" s="41"/>
      <c r="X210" s="41"/>
      <c r="Y210" s="41"/>
      <c r="Z210" s="41"/>
    </row>
    <row r="211" spans="19:26" x14ac:dyDescent="0.25">
      <c r="S211" s="30"/>
      <c r="T211" s="30"/>
      <c r="V211" s="41"/>
      <c r="W211" s="41"/>
      <c r="X211" s="41"/>
      <c r="Y211" s="41"/>
      <c r="Z211" s="41"/>
    </row>
    <row r="212" spans="19:26" x14ac:dyDescent="0.25">
      <c r="S212" s="30"/>
      <c r="T212" s="30"/>
      <c r="V212" s="41"/>
      <c r="W212" s="41"/>
      <c r="X212" s="41"/>
      <c r="Y212" s="41"/>
      <c r="Z212" s="41"/>
    </row>
    <row r="213" spans="19:26" x14ac:dyDescent="0.25">
      <c r="S213" s="30"/>
      <c r="T213" s="30"/>
      <c r="V213" s="41"/>
      <c r="W213" s="41"/>
      <c r="X213" s="41"/>
      <c r="Y213" s="41"/>
      <c r="Z213" s="41"/>
    </row>
    <row r="214" spans="19:26" x14ac:dyDescent="0.25">
      <c r="S214" s="30"/>
      <c r="T214" s="30"/>
      <c r="V214" s="41"/>
      <c r="W214" s="41"/>
      <c r="X214" s="41"/>
      <c r="Y214" s="41"/>
      <c r="Z214" s="41"/>
    </row>
    <row r="215" spans="19:26" x14ac:dyDescent="0.25">
      <c r="S215" s="30"/>
      <c r="T215" s="30"/>
      <c r="V215" s="41"/>
      <c r="W215" s="41"/>
      <c r="X215" s="41"/>
      <c r="Y215" s="41"/>
      <c r="Z215" s="41"/>
    </row>
    <row r="216" spans="19:26" x14ac:dyDescent="0.25">
      <c r="S216" s="30"/>
      <c r="T216" s="30"/>
      <c r="V216" s="41"/>
      <c r="W216" s="41"/>
      <c r="X216" s="41"/>
      <c r="Y216" s="41"/>
      <c r="Z216" s="41"/>
    </row>
    <row r="217" spans="19:26" x14ac:dyDescent="0.25">
      <c r="S217" s="30"/>
      <c r="T217" s="30"/>
      <c r="V217" s="41"/>
      <c r="W217" s="41"/>
      <c r="X217" s="41"/>
      <c r="Y217" s="41"/>
      <c r="Z217" s="41"/>
    </row>
    <row r="218" spans="19:26" x14ac:dyDescent="0.25">
      <c r="S218" s="30"/>
      <c r="T218" s="30"/>
      <c r="V218" s="41"/>
      <c r="W218" s="41"/>
      <c r="X218" s="41"/>
      <c r="Y218" s="41"/>
      <c r="Z218" s="41"/>
    </row>
    <row r="219" spans="19:26" x14ac:dyDescent="0.25">
      <c r="S219" s="30"/>
      <c r="T219" s="30"/>
      <c r="V219" s="41"/>
      <c r="W219" s="41"/>
      <c r="X219" s="41"/>
      <c r="Y219" s="41"/>
      <c r="Z219" s="41"/>
    </row>
    <row r="220" spans="19:26" x14ac:dyDescent="0.25">
      <c r="S220" s="30"/>
      <c r="T220" s="30"/>
      <c r="V220" s="41"/>
      <c r="W220" s="41"/>
      <c r="X220" s="41"/>
      <c r="Y220" s="41"/>
      <c r="Z220" s="41"/>
    </row>
    <row r="221" spans="19:26" x14ac:dyDescent="0.25">
      <c r="S221" s="30"/>
      <c r="T221" s="30"/>
      <c r="V221" s="41"/>
      <c r="W221" s="41"/>
      <c r="X221" s="41"/>
      <c r="Y221" s="41"/>
      <c r="Z221" s="41"/>
    </row>
    <row r="222" spans="19:26" x14ac:dyDescent="0.25">
      <c r="S222" s="30"/>
      <c r="T222" s="30"/>
      <c r="V222" s="41"/>
      <c r="W222" s="41"/>
      <c r="X222" s="41"/>
      <c r="Y222" s="41"/>
      <c r="Z222" s="41"/>
    </row>
    <row r="223" spans="19:26" x14ac:dyDescent="0.25">
      <c r="S223" s="30"/>
      <c r="T223" s="30"/>
      <c r="V223" s="41"/>
      <c r="W223" s="41"/>
      <c r="X223" s="41"/>
      <c r="Y223" s="41"/>
      <c r="Z223" s="41"/>
    </row>
    <row r="224" spans="19:26" x14ac:dyDescent="0.25">
      <c r="S224" s="30"/>
      <c r="T224" s="30"/>
      <c r="V224" s="41"/>
      <c r="W224" s="41"/>
      <c r="X224" s="41"/>
      <c r="Y224" s="41"/>
      <c r="Z224" s="41"/>
    </row>
    <row r="225" spans="19:26" x14ac:dyDescent="0.25">
      <c r="S225" s="30"/>
      <c r="T225" s="30"/>
      <c r="V225" s="41"/>
      <c r="W225" s="41"/>
      <c r="X225" s="41"/>
      <c r="Y225" s="41"/>
      <c r="Z225" s="41"/>
    </row>
    <row r="226" spans="19:26" x14ac:dyDescent="0.25">
      <c r="S226" s="30"/>
      <c r="T226" s="30"/>
      <c r="V226" s="41"/>
      <c r="W226" s="41"/>
      <c r="X226" s="41"/>
      <c r="Y226" s="41"/>
      <c r="Z226" s="41"/>
    </row>
    <row r="227" spans="19:26" x14ac:dyDescent="0.25">
      <c r="S227" s="30"/>
      <c r="T227" s="30"/>
      <c r="V227" s="41"/>
      <c r="W227" s="41"/>
      <c r="X227" s="41"/>
      <c r="Y227" s="41"/>
      <c r="Z227" s="41"/>
    </row>
    <row r="228" spans="19:26" x14ac:dyDescent="0.25">
      <c r="S228" s="30"/>
      <c r="T228" s="30"/>
      <c r="V228" s="41"/>
      <c r="W228" s="41"/>
      <c r="X228" s="41"/>
      <c r="Y228" s="41"/>
      <c r="Z228" s="41"/>
    </row>
    <row r="229" spans="19:26" x14ac:dyDescent="0.25">
      <c r="S229" s="30"/>
      <c r="T229" s="30"/>
      <c r="V229" s="41"/>
      <c r="W229" s="41"/>
      <c r="X229" s="41"/>
      <c r="Y229" s="41"/>
      <c r="Z229" s="41"/>
    </row>
    <row r="230" spans="19:26" x14ac:dyDescent="0.25">
      <c r="S230" s="30"/>
      <c r="T230" s="30"/>
      <c r="V230" s="41"/>
      <c r="W230" s="41"/>
      <c r="X230" s="41"/>
      <c r="Y230" s="41"/>
      <c r="Z230" s="41"/>
    </row>
    <row r="231" spans="19:26" x14ac:dyDescent="0.25">
      <c r="S231" s="30"/>
      <c r="T231" s="30"/>
      <c r="V231" s="41"/>
      <c r="W231" s="41"/>
      <c r="X231" s="41"/>
      <c r="Y231" s="41"/>
      <c r="Z231" s="41"/>
    </row>
    <row r="232" spans="19:26" x14ac:dyDescent="0.25">
      <c r="S232" s="30"/>
      <c r="T232" s="30"/>
      <c r="V232" s="41"/>
      <c r="W232" s="41"/>
      <c r="X232" s="41"/>
      <c r="Y232" s="41"/>
      <c r="Z232" s="41"/>
    </row>
    <row r="233" spans="19:26" x14ac:dyDescent="0.25">
      <c r="S233" s="30"/>
      <c r="T233" s="30"/>
      <c r="V233" s="41"/>
      <c r="W233" s="41"/>
      <c r="X233" s="41"/>
      <c r="Y233" s="41"/>
      <c r="Z233" s="41"/>
    </row>
    <row r="234" spans="19:26" x14ac:dyDescent="0.25">
      <c r="S234" s="30"/>
      <c r="T234" s="30"/>
      <c r="V234" s="41"/>
      <c r="W234" s="41"/>
      <c r="X234" s="41"/>
      <c r="Y234" s="41"/>
      <c r="Z234" s="41"/>
    </row>
    <row r="235" spans="19:26" x14ac:dyDescent="0.25">
      <c r="S235" s="30"/>
      <c r="T235" s="30"/>
      <c r="V235" s="41"/>
      <c r="W235" s="41"/>
      <c r="X235" s="41"/>
      <c r="Y235" s="41"/>
      <c r="Z235" s="41"/>
    </row>
    <row r="236" spans="19:26" x14ac:dyDescent="0.25">
      <c r="S236" s="30"/>
      <c r="T236" s="30"/>
      <c r="V236" s="41"/>
      <c r="W236" s="41"/>
      <c r="X236" s="41"/>
      <c r="Y236" s="41"/>
      <c r="Z236" s="41"/>
    </row>
    <row r="237" spans="19:26" x14ac:dyDescent="0.25">
      <c r="S237" s="30"/>
      <c r="T237" s="30"/>
      <c r="V237" s="41"/>
      <c r="W237" s="41"/>
      <c r="X237" s="41"/>
      <c r="Y237" s="41"/>
      <c r="Z237" s="41"/>
    </row>
    <row r="238" spans="19:26" x14ac:dyDescent="0.25">
      <c r="S238" s="30"/>
      <c r="T238" s="30"/>
      <c r="V238" s="41"/>
      <c r="W238" s="41"/>
      <c r="X238" s="41"/>
      <c r="Y238" s="41"/>
      <c r="Z238" s="41"/>
    </row>
    <row r="239" spans="19:26" x14ac:dyDescent="0.25">
      <c r="S239" s="30"/>
      <c r="T239" s="30"/>
      <c r="V239" s="41"/>
      <c r="W239" s="41"/>
      <c r="X239" s="41"/>
      <c r="Y239" s="41"/>
      <c r="Z239" s="41"/>
    </row>
    <row r="240" spans="19:26" x14ac:dyDescent="0.25">
      <c r="S240" s="30"/>
      <c r="T240" s="30"/>
      <c r="V240" s="41"/>
      <c r="W240" s="41"/>
      <c r="X240" s="41"/>
      <c r="Y240" s="41"/>
      <c r="Z240" s="41"/>
    </row>
    <row r="241" spans="19:26" x14ac:dyDescent="0.25">
      <c r="S241" s="30"/>
      <c r="T241" s="30"/>
      <c r="V241" s="41"/>
      <c r="W241" s="41"/>
      <c r="X241" s="41"/>
      <c r="Y241" s="41"/>
      <c r="Z241" s="41"/>
    </row>
    <row r="242" spans="19:26" x14ac:dyDescent="0.25">
      <c r="S242" s="30"/>
      <c r="T242" s="30"/>
      <c r="V242" s="41"/>
      <c r="W242" s="41"/>
      <c r="X242" s="41"/>
      <c r="Y242" s="41"/>
      <c r="Z242" s="41"/>
    </row>
    <row r="243" spans="19:26" x14ac:dyDescent="0.25">
      <c r="S243" s="30"/>
      <c r="T243" s="30"/>
      <c r="V243" s="41"/>
      <c r="W243" s="41"/>
      <c r="X243" s="41"/>
      <c r="Y243" s="41"/>
      <c r="Z243" s="41"/>
    </row>
    <row r="244" spans="19:26" x14ac:dyDescent="0.25">
      <c r="S244" s="30"/>
      <c r="T244" s="30"/>
      <c r="V244" s="41"/>
      <c r="W244" s="41"/>
      <c r="X244" s="41"/>
      <c r="Y244" s="41"/>
      <c r="Z244" s="41"/>
    </row>
    <row r="245" spans="19:26" x14ac:dyDescent="0.25">
      <c r="S245" s="30"/>
      <c r="T245" s="30"/>
      <c r="V245" s="41"/>
      <c r="W245" s="41"/>
      <c r="X245" s="41"/>
      <c r="Y245" s="41"/>
      <c r="Z245" s="41"/>
    </row>
    <row r="246" spans="19:26" x14ac:dyDescent="0.25">
      <c r="S246" s="30"/>
      <c r="T246" s="30"/>
      <c r="V246" s="41"/>
      <c r="W246" s="41"/>
      <c r="X246" s="41"/>
      <c r="Y246" s="41"/>
      <c r="Z246" s="41"/>
    </row>
    <row r="247" spans="19:26" x14ac:dyDescent="0.25">
      <c r="S247" s="30"/>
      <c r="T247" s="30"/>
      <c r="V247" s="41"/>
      <c r="W247" s="41"/>
      <c r="X247" s="41"/>
      <c r="Y247" s="41"/>
      <c r="Z247" s="41"/>
    </row>
    <row r="248" spans="19:26" x14ac:dyDescent="0.25">
      <c r="S248" s="30"/>
      <c r="T248" s="30"/>
      <c r="V248" s="41"/>
      <c r="W248" s="41"/>
      <c r="X248" s="41"/>
      <c r="Y248" s="41"/>
      <c r="Z248" s="41"/>
    </row>
    <row r="249" spans="19:26" x14ac:dyDescent="0.25">
      <c r="S249" s="30"/>
      <c r="T249" s="30"/>
      <c r="V249" s="41"/>
      <c r="W249" s="41"/>
      <c r="X249" s="41"/>
      <c r="Y249" s="41"/>
      <c r="Z249" s="41"/>
    </row>
    <row r="250" spans="19:26" x14ac:dyDescent="0.25">
      <c r="S250" s="30"/>
      <c r="T250" s="30"/>
      <c r="V250" s="41"/>
      <c r="W250" s="41"/>
      <c r="X250" s="41"/>
      <c r="Y250" s="41"/>
      <c r="Z250" s="41"/>
    </row>
    <row r="251" spans="19:26" x14ac:dyDescent="0.25">
      <c r="S251" s="30"/>
      <c r="T251" s="30"/>
      <c r="V251" s="41"/>
      <c r="W251" s="41"/>
      <c r="X251" s="41"/>
      <c r="Y251" s="41"/>
      <c r="Z251" s="41"/>
    </row>
    <row r="252" spans="19:26" x14ac:dyDescent="0.25">
      <c r="S252" s="30"/>
      <c r="T252" s="30"/>
      <c r="V252" s="41"/>
      <c r="W252" s="41"/>
      <c r="X252" s="41"/>
      <c r="Y252" s="41"/>
      <c r="Z252" s="41"/>
    </row>
    <row r="253" spans="19:26" x14ac:dyDescent="0.25">
      <c r="S253" s="30"/>
      <c r="T253" s="30"/>
      <c r="V253" s="41"/>
      <c r="W253" s="41"/>
      <c r="X253" s="41"/>
      <c r="Y253" s="41"/>
      <c r="Z253" s="41"/>
    </row>
    <row r="254" spans="19:26" x14ac:dyDescent="0.25">
      <c r="S254" s="30"/>
      <c r="T254" s="30"/>
      <c r="V254" s="41"/>
      <c r="W254" s="41"/>
      <c r="X254" s="41"/>
      <c r="Y254" s="41"/>
      <c r="Z254" s="41"/>
    </row>
    <row r="255" spans="19:26" x14ac:dyDescent="0.25">
      <c r="S255" s="30"/>
      <c r="T255" s="30"/>
      <c r="V255" s="41"/>
      <c r="W255" s="41"/>
      <c r="X255" s="41"/>
      <c r="Y255" s="41"/>
      <c r="Z255" s="41"/>
    </row>
    <row r="256" spans="19:26" x14ac:dyDescent="0.25">
      <c r="S256" s="30"/>
      <c r="T256" s="30"/>
      <c r="V256" s="41"/>
      <c r="W256" s="41"/>
      <c r="X256" s="41"/>
      <c r="Y256" s="41"/>
      <c r="Z256" s="41"/>
    </row>
    <row r="257" spans="19:26" x14ac:dyDescent="0.25">
      <c r="S257" s="30"/>
      <c r="T257" s="30"/>
      <c r="V257" s="41"/>
      <c r="W257" s="41"/>
      <c r="X257" s="41"/>
      <c r="Y257" s="41"/>
      <c r="Z257" s="41"/>
    </row>
    <row r="258" spans="19:26" x14ac:dyDescent="0.25">
      <c r="S258" s="30"/>
      <c r="T258" s="30"/>
      <c r="V258" s="41"/>
      <c r="W258" s="41"/>
      <c r="X258" s="41"/>
      <c r="Y258" s="41"/>
      <c r="Z258" s="41"/>
    </row>
    <row r="259" spans="19:26" x14ac:dyDescent="0.25">
      <c r="S259" s="30"/>
      <c r="T259" s="30"/>
      <c r="V259" s="41"/>
      <c r="W259" s="41"/>
      <c r="X259" s="41"/>
      <c r="Y259" s="41"/>
      <c r="Z259" s="41"/>
    </row>
    <row r="260" spans="19:26" x14ac:dyDescent="0.25">
      <c r="S260" s="30"/>
      <c r="T260" s="30"/>
      <c r="V260" s="41"/>
      <c r="W260" s="41"/>
      <c r="X260" s="41"/>
      <c r="Y260" s="41"/>
      <c r="Z260" s="41"/>
    </row>
    <row r="261" spans="19:26" x14ac:dyDescent="0.25">
      <c r="S261" s="30"/>
      <c r="T261" s="30"/>
      <c r="V261" s="41"/>
      <c r="W261" s="41"/>
      <c r="X261" s="41"/>
      <c r="Y261" s="41"/>
      <c r="Z261" s="41"/>
    </row>
    <row r="262" spans="19:26" x14ac:dyDescent="0.25">
      <c r="S262" s="30"/>
      <c r="T262" s="30"/>
      <c r="V262" s="41"/>
      <c r="W262" s="41"/>
      <c r="X262" s="41"/>
      <c r="Y262" s="41"/>
      <c r="Z262" s="41"/>
    </row>
    <row r="263" spans="19:26" x14ac:dyDescent="0.25">
      <c r="S263" s="30"/>
      <c r="T263" s="30"/>
      <c r="V263" s="41"/>
      <c r="W263" s="41"/>
      <c r="X263" s="41"/>
      <c r="Y263" s="41"/>
      <c r="Z263" s="41"/>
    </row>
    <row r="264" spans="19:26" x14ac:dyDescent="0.25">
      <c r="S264" s="30"/>
      <c r="T264" s="30"/>
      <c r="V264" s="41"/>
      <c r="W264" s="41"/>
      <c r="X264" s="41"/>
      <c r="Y264" s="41"/>
      <c r="Z264" s="41"/>
    </row>
    <row r="265" spans="19:26" x14ac:dyDescent="0.25">
      <c r="S265" s="30"/>
      <c r="T265" s="30"/>
      <c r="V265" s="41"/>
      <c r="W265" s="41"/>
      <c r="X265" s="41"/>
      <c r="Y265" s="41"/>
      <c r="Z265" s="41"/>
    </row>
    <row r="266" spans="19:26" x14ac:dyDescent="0.25">
      <c r="S266" s="30"/>
      <c r="T266" s="30"/>
      <c r="V266" s="41"/>
      <c r="W266" s="41"/>
      <c r="X266" s="41"/>
      <c r="Y266" s="41"/>
      <c r="Z266" s="41"/>
    </row>
    <row r="267" spans="19:26" x14ac:dyDescent="0.25">
      <c r="S267" s="30"/>
      <c r="T267" s="30"/>
      <c r="V267" s="41"/>
      <c r="W267" s="41"/>
      <c r="X267" s="41"/>
      <c r="Y267" s="41"/>
      <c r="Z267" s="41"/>
    </row>
    <row r="268" spans="19:26" x14ac:dyDescent="0.25">
      <c r="S268" s="30"/>
      <c r="T268" s="30"/>
      <c r="V268" s="41"/>
      <c r="W268" s="41"/>
      <c r="X268" s="41"/>
      <c r="Y268" s="41"/>
      <c r="Z268" s="41"/>
    </row>
    <row r="269" spans="19:26" x14ac:dyDescent="0.25">
      <c r="S269" s="30"/>
      <c r="T269" s="30"/>
      <c r="V269" s="41"/>
      <c r="W269" s="41"/>
      <c r="X269" s="41"/>
      <c r="Y269" s="41"/>
      <c r="Z269" s="41"/>
    </row>
    <row r="270" spans="19:26" x14ac:dyDescent="0.25">
      <c r="S270" s="30"/>
      <c r="T270" s="30"/>
      <c r="V270" s="41"/>
      <c r="W270" s="41"/>
      <c r="X270" s="41"/>
      <c r="Y270" s="41"/>
      <c r="Z270" s="41"/>
    </row>
    <row r="271" spans="19:26" x14ac:dyDescent="0.25">
      <c r="S271" s="30"/>
      <c r="T271" s="30"/>
      <c r="V271" s="41"/>
      <c r="W271" s="41"/>
      <c r="X271" s="41"/>
      <c r="Y271" s="41"/>
      <c r="Z271" s="41"/>
    </row>
    <row r="272" spans="19:26" x14ac:dyDescent="0.25">
      <c r="S272" s="30"/>
      <c r="T272" s="30"/>
      <c r="V272" s="41"/>
      <c r="W272" s="41"/>
      <c r="X272" s="41"/>
      <c r="Y272" s="41"/>
      <c r="Z272" s="41"/>
    </row>
    <row r="273" spans="19:26" x14ac:dyDescent="0.25">
      <c r="S273" s="30"/>
      <c r="T273" s="30"/>
      <c r="V273" s="41"/>
      <c r="W273" s="41"/>
      <c r="X273" s="41"/>
      <c r="Y273" s="41"/>
      <c r="Z273" s="41"/>
    </row>
    <row r="274" spans="19:26" x14ac:dyDescent="0.25">
      <c r="S274" s="30"/>
      <c r="T274" s="30"/>
      <c r="V274" s="41"/>
      <c r="W274" s="41"/>
      <c r="X274" s="41"/>
      <c r="Y274" s="41"/>
      <c r="Z274" s="41"/>
    </row>
    <row r="275" spans="19:26" x14ac:dyDescent="0.25">
      <c r="S275" s="30"/>
      <c r="T275" s="30"/>
      <c r="V275" s="41"/>
      <c r="W275" s="41"/>
      <c r="X275" s="41"/>
      <c r="Y275" s="41"/>
      <c r="Z275" s="41"/>
    </row>
    <row r="276" spans="19:26" x14ac:dyDescent="0.25">
      <c r="S276" s="30"/>
      <c r="T276" s="30"/>
      <c r="V276" s="41"/>
      <c r="W276" s="41"/>
      <c r="X276" s="41"/>
      <c r="Y276" s="41"/>
      <c r="Z276" s="41"/>
    </row>
    <row r="277" spans="19:26" x14ac:dyDescent="0.25">
      <c r="S277" s="30"/>
      <c r="T277" s="30"/>
      <c r="V277" s="41"/>
      <c r="W277" s="41"/>
      <c r="X277" s="41"/>
      <c r="Y277" s="41"/>
      <c r="Z277" s="41"/>
    </row>
    <row r="278" spans="19:26" x14ac:dyDescent="0.25">
      <c r="S278" s="30"/>
      <c r="T278" s="30"/>
      <c r="V278" s="41"/>
      <c r="W278" s="41"/>
      <c r="X278" s="41"/>
      <c r="Y278" s="41"/>
      <c r="Z278" s="41"/>
    </row>
    <row r="279" spans="19:26" x14ac:dyDescent="0.25">
      <c r="S279" s="30"/>
      <c r="T279" s="30"/>
      <c r="V279" s="41"/>
      <c r="W279" s="41"/>
      <c r="X279" s="41"/>
      <c r="Y279" s="41"/>
      <c r="Z279" s="41"/>
    </row>
    <row r="280" spans="19:26" x14ac:dyDescent="0.25">
      <c r="S280" s="30"/>
      <c r="T280" s="30"/>
      <c r="V280" s="41"/>
      <c r="W280" s="41"/>
      <c r="X280" s="41"/>
      <c r="Y280" s="41"/>
      <c r="Z280" s="41"/>
    </row>
    <row r="281" spans="19:26" x14ac:dyDescent="0.25">
      <c r="S281" s="30"/>
      <c r="T281" s="30"/>
      <c r="V281" s="41"/>
      <c r="W281" s="41"/>
      <c r="X281" s="41"/>
      <c r="Y281" s="41"/>
      <c r="Z281" s="41"/>
    </row>
    <row r="282" spans="19:26" x14ac:dyDescent="0.25">
      <c r="S282" s="30"/>
      <c r="T282" s="30"/>
      <c r="V282" s="41"/>
      <c r="W282" s="41"/>
      <c r="X282" s="41"/>
      <c r="Y282" s="41"/>
      <c r="Z282" s="41"/>
    </row>
    <row r="283" spans="19:26" x14ac:dyDescent="0.25">
      <c r="S283" s="30"/>
      <c r="T283" s="30"/>
      <c r="V283" s="41"/>
      <c r="W283" s="41"/>
      <c r="X283" s="41"/>
      <c r="Y283" s="41"/>
      <c r="Z283" s="41"/>
    </row>
    <row r="284" spans="19:26" x14ac:dyDescent="0.25">
      <c r="S284" s="30"/>
      <c r="T284" s="30"/>
      <c r="V284" s="41"/>
      <c r="W284" s="41"/>
      <c r="X284" s="41"/>
      <c r="Y284" s="41"/>
      <c r="Z284" s="41"/>
    </row>
    <row r="285" spans="19:26" x14ac:dyDescent="0.25">
      <c r="S285" s="30"/>
      <c r="T285" s="30"/>
      <c r="V285" s="41"/>
      <c r="W285" s="41"/>
      <c r="X285" s="41"/>
      <c r="Y285" s="41"/>
      <c r="Z285" s="41"/>
    </row>
    <row r="286" spans="19:26" x14ac:dyDescent="0.25">
      <c r="S286" s="30"/>
      <c r="T286" s="30"/>
      <c r="V286" s="41"/>
      <c r="W286" s="41"/>
      <c r="X286" s="41"/>
      <c r="Y286" s="41"/>
      <c r="Z286" s="41"/>
    </row>
    <row r="287" spans="19:26" x14ac:dyDescent="0.25">
      <c r="S287" s="30"/>
      <c r="T287" s="30"/>
      <c r="V287" s="41"/>
      <c r="W287" s="41"/>
      <c r="X287" s="41"/>
      <c r="Y287" s="41"/>
      <c r="Z287" s="41"/>
    </row>
    <row r="288" spans="19:26" x14ac:dyDescent="0.25">
      <c r="S288" s="30"/>
      <c r="T288" s="30"/>
      <c r="V288" s="41"/>
      <c r="W288" s="41"/>
      <c r="X288" s="41"/>
      <c r="Y288" s="41"/>
      <c r="Z288" s="41"/>
    </row>
    <row r="289" spans="19:26" x14ac:dyDescent="0.25">
      <c r="S289" s="30"/>
      <c r="T289" s="30"/>
      <c r="V289" s="41"/>
      <c r="W289" s="41"/>
      <c r="X289" s="41"/>
      <c r="Y289" s="41"/>
      <c r="Z289" s="41"/>
    </row>
    <row r="290" spans="19:26" x14ac:dyDescent="0.25">
      <c r="S290" s="30"/>
      <c r="T290" s="30"/>
      <c r="V290" s="41"/>
      <c r="W290" s="41"/>
      <c r="X290" s="41"/>
      <c r="Y290" s="41"/>
      <c r="Z290" s="41"/>
    </row>
    <row r="291" spans="19:26" x14ac:dyDescent="0.25">
      <c r="S291" s="30"/>
      <c r="T291" s="30"/>
      <c r="V291" s="41"/>
      <c r="W291" s="41"/>
      <c r="X291" s="41"/>
      <c r="Y291" s="41"/>
      <c r="Z291" s="41"/>
    </row>
    <row r="292" spans="19:26" x14ac:dyDescent="0.25">
      <c r="S292" s="30"/>
      <c r="T292" s="30"/>
      <c r="V292" s="41"/>
      <c r="W292" s="41"/>
      <c r="X292" s="41"/>
      <c r="Y292" s="41"/>
      <c r="Z292" s="41"/>
    </row>
    <row r="293" spans="19:26" x14ac:dyDescent="0.25">
      <c r="S293" s="30"/>
      <c r="T293" s="30"/>
      <c r="V293" s="41"/>
      <c r="W293" s="41"/>
      <c r="X293" s="41"/>
      <c r="Y293" s="41"/>
      <c r="Z293" s="41"/>
    </row>
    <row r="294" spans="19:26" x14ac:dyDescent="0.25">
      <c r="S294" s="30"/>
      <c r="T294" s="30"/>
      <c r="V294" s="41"/>
      <c r="W294" s="41"/>
      <c r="X294" s="41"/>
      <c r="Y294" s="41"/>
      <c r="Z294" s="41"/>
    </row>
    <row r="295" spans="19:26" x14ac:dyDescent="0.25">
      <c r="S295" s="30"/>
      <c r="T295" s="30"/>
      <c r="V295" s="41"/>
      <c r="W295" s="41"/>
      <c r="X295" s="41"/>
      <c r="Y295" s="41"/>
      <c r="Z295" s="41"/>
    </row>
    <row r="296" spans="19:26" x14ac:dyDescent="0.25">
      <c r="S296" s="30"/>
      <c r="T296" s="30"/>
      <c r="V296" s="41"/>
      <c r="W296" s="41"/>
      <c r="X296" s="41"/>
      <c r="Y296" s="41"/>
      <c r="Z296" s="41"/>
    </row>
    <row r="297" spans="19:26" x14ac:dyDescent="0.25">
      <c r="S297" s="30"/>
      <c r="T297" s="30"/>
      <c r="V297" s="41"/>
      <c r="W297" s="41"/>
      <c r="X297" s="41"/>
      <c r="Y297" s="41"/>
      <c r="Z297" s="41"/>
    </row>
    <row r="298" spans="19:26" x14ac:dyDescent="0.25">
      <c r="S298" s="30"/>
      <c r="T298" s="30"/>
      <c r="V298" s="41"/>
      <c r="W298" s="41"/>
      <c r="X298" s="41"/>
      <c r="Y298" s="41"/>
      <c r="Z298" s="41"/>
    </row>
    <row r="299" spans="19:26" x14ac:dyDescent="0.25">
      <c r="S299" s="30"/>
      <c r="T299" s="30"/>
      <c r="V299" s="41"/>
      <c r="W299" s="41"/>
      <c r="X299" s="41"/>
      <c r="Y299" s="41"/>
      <c r="Z299" s="41"/>
    </row>
    <row r="300" spans="19:26" x14ac:dyDescent="0.25">
      <c r="S300" s="30"/>
      <c r="T300" s="30"/>
      <c r="V300" s="41"/>
      <c r="W300" s="41"/>
      <c r="X300" s="41"/>
      <c r="Y300" s="41"/>
      <c r="Z300" s="41"/>
    </row>
    <row r="301" spans="19:26" x14ac:dyDescent="0.25">
      <c r="S301" s="30"/>
      <c r="T301" s="30"/>
      <c r="V301" s="41"/>
      <c r="W301" s="41"/>
      <c r="X301" s="41"/>
      <c r="Y301" s="41"/>
      <c r="Z301" s="41"/>
    </row>
    <row r="302" spans="19:26" x14ac:dyDescent="0.25">
      <c r="S302" s="30"/>
      <c r="T302" s="30"/>
      <c r="V302" s="41"/>
      <c r="W302" s="41"/>
      <c r="X302" s="41"/>
      <c r="Y302" s="41"/>
      <c r="Z302" s="41"/>
    </row>
    <row r="303" spans="19:26" x14ac:dyDescent="0.25">
      <c r="S303" s="30"/>
      <c r="T303" s="30"/>
      <c r="V303" s="41"/>
      <c r="W303" s="41"/>
      <c r="X303" s="41"/>
      <c r="Y303" s="41"/>
      <c r="Z303" s="41"/>
    </row>
    <row r="304" spans="19:26" x14ac:dyDescent="0.25">
      <c r="S304" s="30"/>
      <c r="T304" s="30"/>
      <c r="V304" s="41"/>
      <c r="W304" s="41"/>
      <c r="X304" s="41"/>
      <c r="Y304" s="41"/>
      <c r="Z304" s="41"/>
    </row>
    <row r="305" spans="19:26" x14ac:dyDescent="0.25">
      <c r="S305" s="30"/>
      <c r="T305" s="30"/>
      <c r="V305" s="41"/>
      <c r="W305" s="41"/>
      <c r="X305" s="41"/>
      <c r="Y305" s="41"/>
      <c r="Z305" s="41"/>
    </row>
    <row r="306" spans="19:26" x14ac:dyDescent="0.25">
      <c r="S306" s="30"/>
      <c r="T306" s="30"/>
      <c r="V306" s="41"/>
      <c r="W306" s="41"/>
      <c r="X306" s="41"/>
      <c r="Y306" s="41"/>
      <c r="Z306" s="41"/>
    </row>
    <row r="307" spans="19:26" x14ac:dyDescent="0.25">
      <c r="S307" s="30"/>
      <c r="T307" s="30"/>
      <c r="V307" s="41"/>
      <c r="W307" s="41"/>
      <c r="X307" s="41"/>
      <c r="Y307" s="41"/>
      <c r="Z307" s="41"/>
    </row>
    <row r="308" spans="19:26" x14ac:dyDescent="0.25">
      <c r="S308" s="30"/>
      <c r="T308" s="30"/>
      <c r="V308" s="41"/>
      <c r="W308" s="41"/>
      <c r="X308" s="41"/>
      <c r="Y308" s="41"/>
      <c r="Z308" s="41"/>
    </row>
    <row r="309" spans="19:26" x14ac:dyDescent="0.25">
      <c r="S309" s="30"/>
      <c r="T309" s="30"/>
      <c r="V309" s="41"/>
      <c r="W309" s="41"/>
      <c r="X309" s="41"/>
      <c r="Y309" s="41"/>
      <c r="Z309" s="41"/>
    </row>
    <row r="310" spans="19:26" x14ac:dyDescent="0.25">
      <c r="S310" s="30"/>
      <c r="T310" s="30"/>
      <c r="V310" s="41"/>
      <c r="W310" s="41"/>
      <c r="X310" s="41"/>
      <c r="Y310" s="41"/>
      <c r="Z310" s="41"/>
    </row>
    <row r="311" spans="19:26" x14ac:dyDescent="0.25">
      <c r="S311" s="30"/>
      <c r="T311" s="30"/>
      <c r="V311" s="41"/>
      <c r="W311" s="41"/>
      <c r="X311" s="41"/>
      <c r="Y311" s="41"/>
      <c r="Z311" s="41"/>
    </row>
    <row r="312" spans="19:26" x14ac:dyDescent="0.25">
      <c r="S312" s="30"/>
      <c r="T312" s="30"/>
      <c r="V312" s="41"/>
      <c r="W312" s="41"/>
      <c r="X312" s="41"/>
      <c r="Y312" s="41"/>
      <c r="Z312" s="41"/>
    </row>
    <row r="313" spans="19:26" x14ac:dyDescent="0.25">
      <c r="S313" s="30"/>
      <c r="T313" s="30"/>
      <c r="V313" s="41"/>
      <c r="W313" s="41"/>
      <c r="X313" s="41"/>
      <c r="Y313" s="41"/>
      <c r="Z313" s="41"/>
    </row>
    <row r="314" spans="19:26" x14ac:dyDescent="0.25">
      <c r="S314" s="30"/>
      <c r="T314" s="30"/>
      <c r="V314" s="41"/>
      <c r="W314" s="41"/>
      <c r="X314" s="41"/>
      <c r="Y314" s="41"/>
      <c r="Z314" s="41"/>
    </row>
    <row r="315" spans="19:26" x14ac:dyDescent="0.25">
      <c r="S315" s="30"/>
      <c r="T315" s="30"/>
      <c r="V315" s="41"/>
      <c r="W315" s="41"/>
      <c r="X315" s="41"/>
      <c r="Y315" s="41"/>
      <c r="Z315" s="41"/>
    </row>
    <row r="316" spans="19:26" x14ac:dyDescent="0.25">
      <c r="S316" s="30"/>
      <c r="T316" s="30"/>
      <c r="V316" s="41"/>
      <c r="W316" s="41"/>
      <c r="X316" s="41"/>
      <c r="Y316" s="41"/>
      <c r="Z316" s="41"/>
    </row>
    <row r="317" spans="19:26" x14ac:dyDescent="0.25">
      <c r="S317" s="30"/>
      <c r="T317" s="30"/>
      <c r="V317" s="41"/>
      <c r="W317" s="41"/>
      <c r="X317" s="41"/>
      <c r="Y317" s="41"/>
      <c r="Z317" s="41"/>
    </row>
    <row r="318" spans="19:26" x14ac:dyDescent="0.25">
      <c r="S318" s="30"/>
      <c r="T318" s="30"/>
      <c r="V318" s="41"/>
      <c r="W318" s="41"/>
      <c r="X318" s="41"/>
      <c r="Y318" s="41"/>
      <c r="Z318" s="41"/>
    </row>
    <row r="319" spans="19:26" x14ac:dyDescent="0.25">
      <c r="S319" s="30"/>
      <c r="T319" s="30"/>
      <c r="V319" s="41"/>
      <c r="W319" s="41"/>
      <c r="X319" s="41"/>
      <c r="Y319" s="41"/>
      <c r="Z319" s="41"/>
    </row>
    <row r="320" spans="19:26" x14ac:dyDescent="0.25">
      <c r="S320" s="30"/>
      <c r="T320" s="30"/>
      <c r="V320" s="41"/>
      <c r="W320" s="41"/>
      <c r="X320" s="41"/>
      <c r="Y320" s="41"/>
      <c r="Z320" s="41"/>
    </row>
    <row r="321" spans="19:26" x14ac:dyDescent="0.25">
      <c r="S321" s="30"/>
      <c r="T321" s="30"/>
      <c r="V321" s="41"/>
      <c r="W321" s="41"/>
      <c r="X321" s="41"/>
      <c r="Y321" s="41"/>
      <c r="Z321" s="41"/>
    </row>
    <row r="322" spans="19:26" x14ac:dyDescent="0.25">
      <c r="S322" s="30"/>
      <c r="T322" s="30"/>
      <c r="V322" s="41"/>
      <c r="W322" s="41"/>
      <c r="X322" s="41"/>
      <c r="Y322" s="41"/>
      <c r="Z322" s="41"/>
    </row>
    <row r="323" spans="19:26" x14ac:dyDescent="0.25">
      <c r="S323" s="30"/>
      <c r="T323" s="30"/>
      <c r="V323" s="41"/>
      <c r="W323" s="41"/>
      <c r="X323" s="41"/>
      <c r="Y323" s="41"/>
      <c r="Z323" s="41"/>
    </row>
    <row r="324" spans="19:26" x14ac:dyDescent="0.25">
      <c r="S324" s="30"/>
      <c r="T324" s="30"/>
      <c r="V324" s="41"/>
      <c r="W324" s="41"/>
      <c r="X324" s="41"/>
      <c r="Y324" s="41"/>
      <c r="Z324" s="41"/>
    </row>
    <row r="325" spans="19:26" x14ac:dyDescent="0.25">
      <c r="S325" s="30"/>
      <c r="T325" s="30"/>
      <c r="V325" s="41"/>
      <c r="W325" s="41"/>
      <c r="X325" s="41"/>
      <c r="Y325" s="41"/>
      <c r="Z325" s="41"/>
    </row>
    <row r="326" spans="19:26" x14ac:dyDescent="0.25">
      <c r="S326" s="30"/>
      <c r="T326" s="30"/>
      <c r="V326" s="41"/>
      <c r="W326" s="41"/>
      <c r="X326" s="41"/>
      <c r="Y326" s="41"/>
      <c r="Z326" s="41"/>
    </row>
    <row r="327" spans="19:26" x14ac:dyDescent="0.25">
      <c r="S327" s="30"/>
      <c r="T327" s="30"/>
      <c r="V327" s="41"/>
      <c r="W327" s="41"/>
      <c r="X327" s="41"/>
      <c r="Y327" s="41"/>
      <c r="Z327" s="41"/>
    </row>
    <row r="328" spans="19:26" x14ac:dyDescent="0.25">
      <c r="S328" s="30"/>
      <c r="T328" s="30"/>
      <c r="V328" s="41"/>
      <c r="W328" s="41"/>
      <c r="X328" s="41"/>
      <c r="Y328" s="41"/>
      <c r="Z328" s="41"/>
    </row>
    <row r="329" spans="19:26" x14ac:dyDescent="0.25">
      <c r="S329" s="30"/>
      <c r="T329" s="30"/>
      <c r="V329" s="41"/>
      <c r="W329" s="41"/>
      <c r="X329" s="41"/>
      <c r="Y329" s="41"/>
      <c r="Z329" s="41"/>
    </row>
    <row r="330" spans="19:26" x14ac:dyDescent="0.25">
      <c r="S330" s="30"/>
      <c r="T330" s="30"/>
      <c r="V330" s="41"/>
      <c r="W330" s="41"/>
      <c r="X330" s="41"/>
      <c r="Y330" s="41"/>
      <c r="Z330" s="41"/>
    </row>
    <row r="331" spans="19:26" x14ac:dyDescent="0.25">
      <c r="S331" s="30"/>
      <c r="T331" s="30"/>
      <c r="V331" s="41"/>
      <c r="W331" s="41"/>
      <c r="X331" s="41"/>
      <c r="Y331" s="41"/>
      <c r="Z331" s="41"/>
    </row>
    <row r="332" spans="19:26" x14ac:dyDescent="0.25">
      <c r="S332" s="30"/>
      <c r="T332" s="30"/>
      <c r="V332" s="41"/>
      <c r="W332" s="41"/>
      <c r="X332" s="41"/>
      <c r="Y332" s="41"/>
      <c r="Z332" s="41"/>
    </row>
    <row r="333" spans="19:26" x14ac:dyDescent="0.25">
      <c r="S333" s="30"/>
      <c r="T333" s="30"/>
      <c r="V333" s="41"/>
      <c r="W333" s="41"/>
      <c r="X333" s="41"/>
      <c r="Y333" s="41"/>
      <c r="Z333" s="41"/>
    </row>
    <row r="334" spans="19:26" x14ac:dyDescent="0.25">
      <c r="S334" s="30"/>
      <c r="T334" s="30"/>
      <c r="V334" s="41"/>
      <c r="W334" s="41"/>
      <c r="X334" s="41"/>
      <c r="Y334" s="41"/>
      <c r="Z334" s="41"/>
    </row>
    <row r="335" spans="19:26" x14ac:dyDescent="0.25">
      <c r="S335" s="30"/>
      <c r="T335" s="30"/>
      <c r="V335" s="41"/>
      <c r="W335" s="41"/>
      <c r="X335" s="41"/>
      <c r="Y335" s="41"/>
      <c r="Z335" s="41"/>
    </row>
    <row r="336" spans="19:26" x14ac:dyDescent="0.25">
      <c r="S336" s="30"/>
      <c r="T336" s="30"/>
      <c r="V336" s="41"/>
      <c r="W336" s="41"/>
      <c r="X336" s="41"/>
      <c r="Y336" s="41"/>
      <c r="Z336" s="41"/>
    </row>
    <row r="337" spans="19:26" x14ac:dyDescent="0.25">
      <c r="S337" s="30"/>
      <c r="T337" s="30"/>
      <c r="V337" s="41"/>
      <c r="W337" s="41"/>
      <c r="X337" s="41"/>
      <c r="Y337" s="41"/>
      <c r="Z337" s="41"/>
    </row>
    <row r="338" spans="19:26" x14ac:dyDescent="0.25">
      <c r="S338" s="30"/>
      <c r="T338" s="30"/>
      <c r="V338" s="41"/>
      <c r="W338" s="41"/>
      <c r="X338" s="41"/>
      <c r="Y338" s="41"/>
      <c r="Z338" s="41"/>
    </row>
    <row r="339" spans="19:26" x14ac:dyDescent="0.25">
      <c r="S339" s="30"/>
      <c r="T339" s="30"/>
      <c r="V339" s="41"/>
      <c r="W339" s="41"/>
      <c r="X339" s="41"/>
      <c r="Y339" s="41"/>
      <c r="Z339" s="41"/>
    </row>
    <row r="340" spans="19:26" x14ac:dyDescent="0.25">
      <c r="S340" s="30"/>
      <c r="T340" s="30"/>
      <c r="V340" s="41"/>
      <c r="W340" s="41"/>
      <c r="X340" s="41"/>
      <c r="Y340" s="41"/>
      <c r="Z340" s="41"/>
    </row>
    <row r="341" spans="19:26" x14ac:dyDescent="0.25">
      <c r="S341" s="30"/>
      <c r="T341" s="30"/>
      <c r="V341" s="41"/>
      <c r="W341" s="41"/>
      <c r="X341" s="41"/>
      <c r="Y341" s="41"/>
      <c r="Z341" s="41"/>
    </row>
    <row r="342" spans="19:26" x14ac:dyDescent="0.25">
      <c r="S342" s="30"/>
      <c r="T342" s="30"/>
      <c r="V342" s="41"/>
      <c r="W342" s="41"/>
      <c r="X342" s="41"/>
      <c r="Y342" s="41"/>
      <c r="Z342" s="41"/>
    </row>
    <row r="343" spans="19:26" x14ac:dyDescent="0.25">
      <c r="S343" s="30"/>
      <c r="T343" s="30"/>
      <c r="V343" s="41"/>
      <c r="W343" s="41"/>
      <c r="X343" s="41"/>
      <c r="Y343" s="41"/>
      <c r="Z343" s="41"/>
    </row>
    <row r="344" spans="19:26" x14ac:dyDescent="0.25">
      <c r="S344" s="30"/>
      <c r="T344" s="30"/>
      <c r="V344" s="41"/>
      <c r="W344" s="41"/>
      <c r="X344" s="41"/>
      <c r="Y344" s="41"/>
      <c r="Z344" s="41"/>
    </row>
    <row r="345" spans="19:26" x14ac:dyDescent="0.25">
      <c r="S345" s="30"/>
      <c r="T345" s="30"/>
      <c r="V345" s="41"/>
      <c r="W345" s="41"/>
      <c r="X345" s="41"/>
      <c r="Y345" s="41"/>
      <c r="Z345" s="41"/>
    </row>
    <row r="346" spans="19:26" x14ac:dyDescent="0.25">
      <c r="S346" s="30"/>
      <c r="T346" s="30"/>
      <c r="V346" s="41"/>
      <c r="W346" s="41"/>
      <c r="X346" s="41"/>
      <c r="Y346" s="41"/>
      <c r="Z346" s="41"/>
    </row>
    <row r="347" spans="19:26" x14ac:dyDescent="0.25">
      <c r="S347" s="30"/>
      <c r="T347" s="30"/>
      <c r="V347" s="41"/>
      <c r="W347" s="41"/>
      <c r="X347" s="41"/>
      <c r="Y347" s="41"/>
      <c r="Z347" s="41"/>
    </row>
    <row r="348" spans="19:26" x14ac:dyDescent="0.25">
      <c r="S348" s="30"/>
      <c r="T348" s="30"/>
      <c r="V348" s="41"/>
      <c r="W348" s="41"/>
      <c r="X348" s="41"/>
      <c r="Y348" s="41"/>
      <c r="Z348" s="41"/>
    </row>
    <row r="349" spans="19:26" x14ac:dyDescent="0.25">
      <c r="S349" s="30"/>
      <c r="T349" s="30"/>
      <c r="V349" s="41"/>
      <c r="W349" s="41"/>
      <c r="X349" s="41"/>
      <c r="Y349" s="41"/>
      <c r="Z349" s="41"/>
    </row>
    <row r="350" spans="19:26" x14ac:dyDescent="0.25">
      <c r="S350" s="30"/>
      <c r="T350" s="30"/>
      <c r="V350" s="41"/>
      <c r="W350" s="41"/>
      <c r="X350" s="41"/>
      <c r="Y350" s="41"/>
      <c r="Z350" s="41"/>
    </row>
    <row r="351" spans="19:26" x14ac:dyDescent="0.25">
      <c r="S351" s="30"/>
      <c r="T351" s="30"/>
      <c r="V351" s="41"/>
      <c r="W351" s="41"/>
      <c r="X351" s="41"/>
      <c r="Y351" s="41"/>
      <c r="Z351" s="41"/>
    </row>
    <row r="352" spans="19:26" x14ac:dyDescent="0.25">
      <c r="S352" s="30"/>
      <c r="T352" s="30"/>
      <c r="V352" s="41"/>
      <c r="W352" s="41"/>
      <c r="X352" s="41"/>
      <c r="Y352" s="41"/>
      <c r="Z352" s="41"/>
    </row>
    <row r="353" spans="19:26" x14ac:dyDescent="0.25">
      <c r="S353" s="30"/>
      <c r="T353" s="30"/>
      <c r="V353" s="41"/>
      <c r="W353" s="41"/>
      <c r="X353" s="41"/>
      <c r="Y353" s="41"/>
      <c r="Z353" s="41"/>
    </row>
    <row r="354" spans="19:26" x14ac:dyDescent="0.25">
      <c r="S354" s="30"/>
      <c r="T354" s="30"/>
      <c r="V354" s="41"/>
      <c r="W354" s="41"/>
      <c r="X354" s="41"/>
      <c r="Y354" s="41"/>
      <c r="Z354" s="41"/>
    </row>
    <row r="355" spans="19:26" x14ac:dyDescent="0.25">
      <c r="S355" s="30"/>
      <c r="T355" s="30"/>
      <c r="V355" s="41"/>
      <c r="W355" s="41"/>
      <c r="X355" s="41"/>
      <c r="Y355" s="41"/>
      <c r="Z355" s="41"/>
    </row>
    <row r="356" spans="19:26" x14ac:dyDescent="0.25">
      <c r="S356" s="30"/>
      <c r="T356" s="30"/>
      <c r="V356" s="41"/>
      <c r="W356" s="41"/>
      <c r="X356" s="41"/>
      <c r="Y356" s="41"/>
      <c r="Z356" s="41"/>
    </row>
    <row r="357" spans="19:26" x14ac:dyDescent="0.25">
      <c r="S357" s="30"/>
      <c r="T357" s="30"/>
      <c r="V357" s="41"/>
      <c r="W357" s="41"/>
      <c r="X357" s="41"/>
      <c r="Y357" s="41"/>
      <c r="Z357" s="41"/>
    </row>
    <row r="358" spans="19:26" x14ac:dyDescent="0.25">
      <c r="S358" s="30"/>
      <c r="T358" s="30"/>
      <c r="V358" s="41"/>
      <c r="W358" s="41"/>
      <c r="X358" s="41"/>
      <c r="Y358" s="41"/>
      <c r="Z358" s="41"/>
    </row>
    <row r="359" spans="19:26" x14ac:dyDescent="0.25">
      <c r="S359" s="30"/>
      <c r="T359" s="30"/>
      <c r="V359" s="41"/>
      <c r="W359" s="41"/>
      <c r="X359" s="41"/>
      <c r="Y359" s="41"/>
      <c r="Z359" s="41"/>
    </row>
    <row r="360" spans="19:26" x14ac:dyDescent="0.25">
      <c r="S360" s="30"/>
      <c r="T360" s="30"/>
      <c r="V360" s="41"/>
      <c r="W360" s="41"/>
      <c r="X360" s="41"/>
      <c r="Y360" s="41"/>
      <c r="Z360" s="41"/>
    </row>
    <row r="361" spans="19:26" x14ac:dyDescent="0.25">
      <c r="S361" s="30"/>
      <c r="T361" s="30"/>
      <c r="V361" s="41"/>
      <c r="W361" s="41"/>
      <c r="X361" s="41"/>
      <c r="Y361" s="41"/>
      <c r="Z361" s="41"/>
    </row>
    <row r="362" spans="19:26" x14ac:dyDescent="0.25">
      <c r="S362" s="30"/>
      <c r="T362" s="30"/>
      <c r="V362" s="41"/>
      <c r="W362" s="41"/>
      <c r="X362" s="41"/>
      <c r="Y362" s="41"/>
      <c r="Z362" s="41"/>
    </row>
    <row r="363" spans="19:26" x14ac:dyDescent="0.25">
      <c r="S363" s="30"/>
      <c r="T363" s="30"/>
      <c r="V363" s="41"/>
      <c r="W363" s="41"/>
      <c r="X363" s="41"/>
      <c r="Y363" s="41"/>
      <c r="Z363" s="41"/>
    </row>
    <row r="364" spans="19:26" x14ac:dyDescent="0.25">
      <c r="S364" s="30"/>
      <c r="T364" s="30"/>
      <c r="V364" s="41"/>
      <c r="W364" s="41"/>
      <c r="X364" s="41"/>
      <c r="Y364" s="41"/>
      <c r="Z364" s="41"/>
    </row>
    <row r="365" spans="19:26" x14ac:dyDescent="0.25">
      <c r="S365" s="30"/>
      <c r="T365" s="30"/>
      <c r="V365" s="41"/>
      <c r="W365" s="41"/>
      <c r="X365" s="41"/>
      <c r="Y365" s="41"/>
      <c r="Z365" s="41"/>
    </row>
    <row r="366" spans="19:26" x14ac:dyDescent="0.25">
      <c r="S366" s="30"/>
      <c r="T366" s="30"/>
      <c r="V366" s="41"/>
      <c r="W366" s="41"/>
      <c r="X366" s="41"/>
      <c r="Y366" s="41"/>
      <c r="Z366" s="41"/>
    </row>
    <row r="367" spans="19:26" x14ac:dyDescent="0.25">
      <c r="S367" s="30"/>
      <c r="T367" s="30"/>
      <c r="V367" s="41"/>
      <c r="W367" s="41"/>
      <c r="X367" s="41"/>
      <c r="Y367" s="41"/>
      <c r="Z367" s="41"/>
    </row>
    <row r="368" spans="19:26" x14ac:dyDescent="0.25">
      <c r="S368" s="30"/>
      <c r="T368" s="30"/>
      <c r="V368" s="41"/>
      <c r="W368" s="41"/>
      <c r="X368" s="41"/>
      <c r="Y368" s="41"/>
      <c r="Z368" s="41"/>
    </row>
    <row r="369" spans="19:26" x14ac:dyDescent="0.25">
      <c r="S369" s="30"/>
      <c r="T369" s="30"/>
      <c r="V369" s="41"/>
      <c r="W369" s="41"/>
      <c r="X369" s="41"/>
      <c r="Y369" s="41"/>
      <c r="Z369" s="41"/>
    </row>
    <row r="370" spans="19:26" x14ac:dyDescent="0.25">
      <c r="S370" s="30"/>
      <c r="T370" s="30"/>
      <c r="V370" s="41"/>
      <c r="W370" s="41"/>
      <c r="X370" s="41"/>
      <c r="Y370" s="41"/>
      <c r="Z370" s="41"/>
    </row>
    <row r="371" spans="19:26" x14ac:dyDescent="0.25">
      <c r="S371" s="30"/>
      <c r="T371" s="30"/>
      <c r="V371" s="41"/>
      <c r="W371" s="41"/>
      <c r="X371" s="41"/>
      <c r="Y371" s="41"/>
      <c r="Z371" s="41"/>
    </row>
    <row r="372" spans="19:26" x14ac:dyDescent="0.25">
      <c r="S372" s="30"/>
      <c r="T372" s="30"/>
      <c r="V372" s="41"/>
      <c r="W372" s="41"/>
      <c r="X372" s="41"/>
      <c r="Y372" s="41"/>
      <c r="Z372" s="41"/>
    </row>
    <row r="373" spans="19:26" x14ac:dyDescent="0.25">
      <c r="S373" s="30"/>
      <c r="T373" s="30"/>
      <c r="V373" s="41"/>
      <c r="W373" s="41"/>
      <c r="X373" s="41"/>
      <c r="Y373" s="41"/>
      <c r="Z373" s="41"/>
    </row>
    <row r="374" spans="19:26" x14ac:dyDescent="0.25">
      <c r="S374" s="30"/>
      <c r="T374" s="30"/>
      <c r="V374" s="41"/>
      <c r="W374" s="41"/>
      <c r="X374" s="41"/>
      <c r="Y374" s="41"/>
      <c r="Z374" s="41"/>
    </row>
    <row r="375" spans="19:26" x14ac:dyDescent="0.25">
      <c r="S375" s="30"/>
      <c r="T375" s="30"/>
      <c r="V375" s="41"/>
      <c r="W375" s="41"/>
      <c r="X375" s="41"/>
      <c r="Y375" s="41"/>
      <c r="Z375" s="41"/>
    </row>
    <row r="376" spans="19:26" x14ac:dyDescent="0.25">
      <c r="S376" s="30"/>
      <c r="T376" s="30"/>
      <c r="V376" s="41"/>
      <c r="W376" s="41"/>
      <c r="X376" s="41"/>
      <c r="Y376" s="41"/>
      <c r="Z376" s="41"/>
    </row>
    <row r="377" spans="19:26" x14ac:dyDescent="0.25">
      <c r="S377" s="30"/>
      <c r="T377" s="30"/>
      <c r="V377" s="41"/>
      <c r="W377" s="41"/>
      <c r="X377" s="41"/>
      <c r="Y377" s="41"/>
      <c r="Z377" s="41"/>
    </row>
    <row r="378" spans="19:26" x14ac:dyDescent="0.25">
      <c r="S378" s="30"/>
      <c r="T378" s="30"/>
      <c r="V378" s="41"/>
      <c r="W378" s="41"/>
      <c r="X378" s="41"/>
      <c r="Y378" s="41"/>
      <c r="Z378" s="41"/>
    </row>
    <row r="379" spans="19:26" x14ac:dyDescent="0.25">
      <c r="S379" s="30"/>
      <c r="T379" s="30"/>
      <c r="V379" s="41"/>
      <c r="W379" s="41"/>
      <c r="X379" s="41"/>
      <c r="Y379" s="41"/>
      <c r="Z379" s="41"/>
    </row>
    <row r="380" spans="19:26" x14ac:dyDescent="0.25">
      <c r="S380" s="30"/>
      <c r="T380" s="30"/>
      <c r="V380" s="41"/>
      <c r="W380" s="41"/>
      <c r="X380" s="41"/>
      <c r="Y380" s="41"/>
      <c r="Z380" s="41"/>
    </row>
    <row r="381" spans="19:26" x14ac:dyDescent="0.25">
      <c r="S381" s="30"/>
      <c r="T381" s="30"/>
      <c r="V381" s="41"/>
      <c r="W381" s="41"/>
      <c r="X381" s="41"/>
      <c r="Y381" s="41"/>
      <c r="Z381" s="41"/>
    </row>
    <row r="382" spans="19:26" x14ac:dyDescent="0.25">
      <c r="S382" s="30"/>
      <c r="T382" s="30"/>
      <c r="V382" s="41"/>
      <c r="W382" s="41"/>
      <c r="X382" s="41"/>
      <c r="Y382" s="41"/>
      <c r="Z382" s="41"/>
    </row>
    <row r="383" spans="19:26" x14ac:dyDescent="0.25">
      <c r="S383" s="30"/>
      <c r="T383" s="30"/>
      <c r="V383" s="41"/>
      <c r="W383" s="41"/>
      <c r="X383" s="41"/>
      <c r="Y383" s="41"/>
      <c r="Z383" s="41"/>
    </row>
    <row r="384" spans="19:26" x14ac:dyDescent="0.25">
      <c r="S384" s="30"/>
      <c r="T384" s="30"/>
      <c r="V384" s="41"/>
      <c r="W384" s="41"/>
      <c r="X384" s="41"/>
      <c r="Y384" s="41"/>
      <c r="Z384" s="41"/>
    </row>
    <row r="385" spans="19:26" x14ac:dyDescent="0.25">
      <c r="S385" s="30"/>
      <c r="T385" s="30"/>
      <c r="V385" s="41"/>
      <c r="W385" s="41"/>
      <c r="X385" s="41"/>
      <c r="Y385" s="41"/>
      <c r="Z385" s="41"/>
    </row>
    <row r="386" spans="19:26" x14ac:dyDescent="0.25">
      <c r="S386" s="30"/>
      <c r="T386" s="30"/>
      <c r="V386" s="41"/>
      <c r="W386" s="41"/>
      <c r="X386" s="41"/>
      <c r="Y386" s="41"/>
      <c r="Z386" s="41"/>
    </row>
    <row r="387" spans="19:26" x14ac:dyDescent="0.25">
      <c r="S387" s="30"/>
      <c r="T387" s="30"/>
      <c r="V387" s="41"/>
      <c r="W387" s="41"/>
      <c r="X387" s="41"/>
      <c r="Y387" s="41"/>
      <c r="Z387" s="41"/>
    </row>
    <row r="388" spans="19:26" x14ac:dyDescent="0.25">
      <c r="S388" s="30"/>
      <c r="T388" s="30"/>
      <c r="V388" s="41"/>
      <c r="W388" s="41"/>
      <c r="X388" s="41"/>
      <c r="Y388" s="41"/>
      <c r="Z388" s="41"/>
    </row>
    <row r="389" spans="19:26" x14ac:dyDescent="0.25">
      <c r="S389" s="30"/>
      <c r="T389" s="30"/>
      <c r="V389" s="41"/>
      <c r="W389" s="41"/>
      <c r="X389" s="41"/>
      <c r="Y389" s="41"/>
      <c r="Z389" s="41"/>
    </row>
    <row r="390" spans="19:26" x14ac:dyDescent="0.25">
      <c r="S390" s="30"/>
      <c r="T390" s="30"/>
      <c r="V390" s="41"/>
      <c r="W390" s="41"/>
      <c r="X390" s="41"/>
      <c r="Y390" s="41"/>
      <c r="Z390" s="41"/>
    </row>
    <row r="391" spans="19:26" x14ac:dyDescent="0.25">
      <c r="S391" s="30"/>
      <c r="T391" s="30"/>
      <c r="V391" s="41"/>
      <c r="W391" s="41"/>
      <c r="X391" s="41"/>
      <c r="Y391" s="41"/>
      <c r="Z391" s="41"/>
    </row>
    <row r="392" spans="19:26" x14ac:dyDescent="0.25">
      <c r="S392" s="30"/>
      <c r="T392" s="30"/>
      <c r="V392" s="41"/>
      <c r="W392" s="41"/>
      <c r="X392" s="41"/>
      <c r="Y392" s="41"/>
      <c r="Z392" s="41"/>
    </row>
    <row r="393" spans="19:26" x14ac:dyDescent="0.25">
      <c r="S393" s="30"/>
      <c r="T393" s="30"/>
      <c r="V393" s="41"/>
      <c r="W393" s="41"/>
      <c r="X393" s="41"/>
      <c r="Y393" s="41"/>
      <c r="Z393" s="41"/>
    </row>
    <row r="394" spans="19:26" x14ac:dyDescent="0.25">
      <c r="S394" s="30"/>
      <c r="T394" s="30"/>
      <c r="V394" s="41"/>
      <c r="W394" s="41"/>
      <c r="X394" s="41"/>
      <c r="Y394" s="41"/>
      <c r="Z394" s="41"/>
    </row>
    <row r="395" spans="19:26" x14ac:dyDescent="0.25">
      <c r="S395" s="30"/>
      <c r="T395" s="30"/>
      <c r="V395" s="41"/>
      <c r="W395" s="41"/>
      <c r="X395" s="41"/>
      <c r="Y395" s="41"/>
      <c r="Z395" s="41"/>
    </row>
    <row r="396" spans="19:26" x14ac:dyDescent="0.25">
      <c r="S396" s="30"/>
      <c r="T396" s="30"/>
      <c r="V396" s="41"/>
      <c r="W396" s="41"/>
      <c r="X396" s="41"/>
      <c r="Y396" s="41"/>
      <c r="Z396" s="41"/>
    </row>
    <row r="397" spans="19:26" x14ac:dyDescent="0.25">
      <c r="S397" s="30"/>
      <c r="T397" s="30"/>
      <c r="V397" s="41"/>
      <c r="W397" s="41"/>
      <c r="X397" s="41"/>
      <c r="Y397" s="41"/>
      <c r="Z397" s="41"/>
    </row>
    <row r="398" spans="19:26" x14ac:dyDescent="0.25">
      <c r="S398" s="30"/>
      <c r="T398" s="30"/>
      <c r="V398" s="41"/>
      <c r="W398" s="41"/>
      <c r="X398" s="41"/>
      <c r="Y398" s="41"/>
      <c r="Z398" s="41"/>
    </row>
    <row r="399" spans="19:26" x14ac:dyDescent="0.25">
      <c r="S399" s="30"/>
      <c r="T399" s="30"/>
      <c r="V399" s="41"/>
      <c r="W399" s="41"/>
      <c r="X399" s="41"/>
      <c r="Y399" s="41"/>
      <c r="Z399" s="41"/>
    </row>
    <row r="400" spans="19:26" x14ac:dyDescent="0.25">
      <c r="S400" s="30"/>
      <c r="T400" s="30"/>
      <c r="V400" s="41"/>
      <c r="W400" s="41"/>
      <c r="X400" s="41"/>
      <c r="Y400" s="41"/>
      <c r="Z400" s="41"/>
    </row>
    <row r="401" spans="19:26" x14ac:dyDescent="0.25">
      <c r="S401" s="30"/>
      <c r="T401" s="30"/>
      <c r="V401" s="41"/>
      <c r="W401" s="41"/>
      <c r="X401" s="41"/>
      <c r="Y401" s="41"/>
      <c r="Z401" s="41"/>
    </row>
    <row r="402" spans="19:26" x14ac:dyDescent="0.25">
      <c r="S402" s="30"/>
      <c r="T402" s="30"/>
      <c r="V402" s="41"/>
      <c r="W402" s="41"/>
      <c r="X402" s="41"/>
      <c r="Y402" s="41"/>
      <c r="Z402" s="41"/>
    </row>
    <row r="403" spans="19:26" x14ac:dyDescent="0.25">
      <c r="S403" s="30"/>
      <c r="T403" s="30"/>
      <c r="V403" s="41"/>
      <c r="W403" s="41"/>
      <c r="X403" s="41"/>
      <c r="Y403" s="41"/>
      <c r="Z403" s="41"/>
    </row>
    <row r="404" spans="19:26" x14ac:dyDescent="0.25">
      <c r="S404" s="30"/>
      <c r="T404" s="30"/>
      <c r="V404" s="41"/>
      <c r="W404" s="41"/>
      <c r="X404" s="41"/>
      <c r="Y404" s="41"/>
      <c r="Z404" s="41"/>
    </row>
    <row r="405" spans="19:26" x14ac:dyDescent="0.25">
      <c r="S405" s="30"/>
      <c r="T405" s="30"/>
      <c r="V405" s="41"/>
      <c r="W405" s="41"/>
      <c r="X405" s="41"/>
      <c r="Y405" s="41"/>
      <c r="Z405" s="41"/>
    </row>
    <row r="406" spans="19:26" x14ac:dyDescent="0.25">
      <c r="S406" s="30"/>
      <c r="T406" s="30"/>
      <c r="V406" s="41"/>
      <c r="W406" s="41"/>
      <c r="X406" s="41"/>
      <c r="Y406" s="41"/>
      <c r="Z406" s="41"/>
    </row>
    <row r="407" spans="19:26" x14ac:dyDescent="0.25">
      <c r="S407" s="30"/>
      <c r="T407" s="30"/>
      <c r="V407" s="41"/>
      <c r="W407" s="41"/>
      <c r="X407" s="41"/>
      <c r="Y407" s="41"/>
      <c r="Z407" s="41"/>
    </row>
    <row r="408" spans="19:26" x14ac:dyDescent="0.25">
      <c r="S408" s="30"/>
      <c r="T408" s="30"/>
      <c r="V408" s="41"/>
      <c r="W408" s="41"/>
      <c r="X408" s="41"/>
      <c r="Y408" s="41"/>
      <c r="Z408" s="41"/>
    </row>
    <row r="409" spans="19:26" x14ac:dyDescent="0.25">
      <c r="S409" s="30"/>
      <c r="T409" s="30"/>
      <c r="V409" s="41"/>
      <c r="W409" s="41"/>
      <c r="X409" s="41"/>
      <c r="Y409" s="41"/>
      <c r="Z409" s="41"/>
    </row>
    <row r="410" spans="19:26" x14ac:dyDescent="0.25">
      <c r="S410" s="30"/>
      <c r="T410" s="30"/>
      <c r="V410" s="41"/>
      <c r="W410" s="41"/>
      <c r="X410" s="41"/>
      <c r="Y410" s="41"/>
      <c r="Z410" s="41"/>
    </row>
    <row r="411" spans="19:26" x14ac:dyDescent="0.25">
      <c r="S411" s="30"/>
      <c r="T411" s="30"/>
      <c r="V411" s="41"/>
      <c r="W411" s="41"/>
      <c r="X411" s="41"/>
      <c r="Y411" s="41"/>
      <c r="Z411" s="41"/>
    </row>
    <row r="412" spans="19:26" x14ac:dyDescent="0.25">
      <c r="S412" s="30"/>
      <c r="T412" s="30"/>
      <c r="V412" s="41"/>
      <c r="W412" s="41"/>
      <c r="X412" s="41"/>
      <c r="Y412" s="41"/>
      <c r="Z412" s="41"/>
    </row>
    <row r="413" spans="19:26" x14ac:dyDescent="0.25">
      <c r="S413" s="30"/>
      <c r="T413" s="30"/>
      <c r="V413" s="41"/>
      <c r="W413" s="41"/>
      <c r="X413" s="41"/>
      <c r="Y413" s="41"/>
      <c r="Z413" s="41"/>
    </row>
    <row r="414" spans="19:26" x14ac:dyDescent="0.25">
      <c r="S414" s="30"/>
      <c r="T414" s="30"/>
      <c r="V414" s="41"/>
      <c r="W414" s="41"/>
      <c r="X414" s="41"/>
      <c r="Y414" s="41"/>
      <c r="Z414" s="41"/>
    </row>
    <row r="415" spans="19:26" x14ac:dyDescent="0.25">
      <c r="S415" s="30"/>
      <c r="T415" s="30"/>
      <c r="V415" s="41"/>
      <c r="W415" s="41"/>
      <c r="X415" s="41"/>
      <c r="Y415" s="41"/>
      <c r="Z415" s="41"/>
    </row>
    <row r="416" spans="19:26" x14ac:dyDescent="0.25">
      <c r="S416" s="30"/>
      <c r="T416" s="30"/>
      <c r="V416" s="41"/>
      <c r="W416" s="41"/>
      <c r="X416" s="41"/>
      <c r="Y416" s="41"/>
      <c r="Z416" s="41"/>
    </row>
    <row r="417" spans="19:26" x14ac:dyDescent="0.25">
      <c r="S417" s="30"/>
      <c r="T417" s="30"/>
      <c r="V417" s="41"/>
      <c r="W417" s="41"/>
      <c r="X417" s="41"/>
      <c r="Y417" s="41"/>
      <c r="Z417" s="41"/>
    </row>
    <row r="418" spans="19:26" x14ac:dyDescent="0.25">
      <c r="S418" s="30"/>
      <c r="T418" s="30"/>
      <c r="V418" s="41"/>
      <c r="W418" s="41"/>
      <c r="X418" s="41"/>
      <c r="Y418" s="41"/>
      <c r="Z418" s="41"/>
    </row>
    <row r="419" spans="19:26" x14ac:dyDescent="0.25">
      <c r="S419" s="30"/>
      <c r="T419" s="30"/>
      <c r="V419" s="41"/>
      <c r="W419" s="41"/>
      <c r="X419" s="41"/>
      <c r="Y419" s="41"/>
      <c r="Z419" s="41"/>
    </row>
    <row r="420" spans="19:26" x14ac:dyDescent="0.25">
      <c r="S420" s="30"/>
      <c r="T420" s="30"/>
      <c r="V420" s="41"/>
      <c r="W420" s="41"/>
      <c r="X420" s="41"/>
      <c r="Y420" s="41"/>
      <c r="Z420" s="41"/>
    </row>
    <row r="421" spans="19:26" x14ac:dyDescent="0.25">
      <c r="S421" s="30"/>
      <c r="T421" s="30"/>
      <c r="V421" s="41"/>
      <c r="W421" s="41"/>
      <c r="X421" s="41"/>
      <c r="Y421" s="41"/>
      <c r="Z421" s="41"/>
    </row>
    <row r="422" spans="19:26" x14ac:dyDescent="0.25">
      <c r="S422" s="30"/>
      <c r="T422" s="30"/>
      <c r="V422" s="41"/>
      <c r="W422" s="41"/>
      <c r="X422" s="41"/>
      <c r="Y422" s="41"/>
      <c r="Z422" s="41"/>
    </row>
    <row r="423" spans="19:26" x14ac:dyDescent="0.25">
      <c r="S423" s="30"/>
      <c r="T423" s="30"/>
      <c r="V423" s="41"/>
      <c r="W423" s="41"/>
      <c r="X423" s="41"/>
      <c r="Y423" s="41"/>
      <c r="Z423" s="41"/>
    </row>
    <row r="424" spans="19:26" x14ac:dyDescent="0.25">
      <c r="S424" s="30"/>
      <c r="T424" s="30"/>
      <c r="V424" s="41"/>
      <c r="W424" s="41"/>
      <c r="X424" s="41"/>
      <c r="Y424" s="41"/>
      <c r="Z424" s="41"/>
    </row>
    <row r="425" spans="19:26" x14ac:dyDescent="0.25">
      <c r="S425" s="30"/>
      <c r="T425" s="30"/>
      <c r="V425" s="41"/>
      <c r="W425" s="41"/>
      <c r="X425" s="41"/>
      <c r="Y425" s="41"/>
      <c r="Z425" s="41"/>
    </row>
    <row r="426" spans="19:26" x14ac:dyDescent="0.25">
      <c r="S426" s="30"/>
      <c r="T426" s="30"/>
      <c r="V426" s="41"/>
      <c r="W426" s="41"/>
      <c r="X426" s="41"/>
      <c r="Y426" s="41"/>
      <c r="Z426" s="41"/>
    </row>
    <row r="427" spans="19:26" x14ac:dyDescent="0.25">
      <c r="S427" s="30"/>
      <c r="T427" s="30"/>
      <c r="V427" s="41"/>
      <c r="W427" s="41"/>
      <c r="X427" s="41"/>
      <c r="Y427" s="41"/>
      <c r="Z427" s="41"/>
    </row>
    <row r="428" spans="19:26" x14ac:dyDescent="0.25">
      <c r="S428" s="30"/>
      <c r="T428" s="30"/>
      <c r="V428" s="41"/>
      <c r="W428" s="41"/>
      <c r="X428" s="41"/>
      <c r="Y428" s="41"/>
      <c r="Z428" s="41"/>
    </row>
    <row r="429" spans="19:26" x14ac:dyDescent="0.25">
      <c r="S429" s="30"/>
      <c r="T429" s="30"/>
      <c r="V429" s="41"/>
      <c r="W429" s="41"/>
      <c r="X429" s="41"/>
      <c r="Y429" s="41"/>
      <c r="Z429" s="41"/>
    </row>
    <row r="430" spans="19:26" x14ac:dyDescent="0.25">
      <c r="S430" s="30"/>
      <c r="T430" s="30"/>
      <c r="V430" s="41"/>
      <c r="W430" s="41"/>
      <c r="X430" s="41"/>
      <c r="Y430" s="41"/>
      <c r="Z430" s="41"/>
    </row>
    <row r="431" spans="19:26" x14ac:dyDescent="0.25">
      <c r="S431" s="30"/>
      <c r="T431" s="30"/>
      <c r="V431" s="41"/>
      <c r="W431" s="41"/>
      <c r="X431" s="41"/>
      <c r="Y431" s="41"/>
      <c r="Z431" s="41"/>
    </row>
    <row r="432" spans="19:26" x14ac:dyDescent="0.25">
      <c r="S432" s="30"/>
      <c r="T432" s="30"/>
      <c r="V432" s="41"/>
      <c r="W432" s="41"/>
      <c r="X432" s="41"/>
      <c r="Y432" s="41"/>
      <c r="Z432" s="41"/>
    </row>
    <row r="433" spans="19:26" x14ac:dyDescent="0.25">
      <c r="S433" s="30"/>
      <c r="T433" s="30"/>
      <c r="V433" s="41"/>
      <c r="W433" s="41"/>
      <c r="X433" s="41"/>
      <c r="Y433" s="41"/>
      <c r="Z433" s="41"/>
    </row>
    <row r="434" spans="19:26" x14ac:dyDescent="0.25">
      <c r="S434" s="30"/>
      <c r="T434" s="30"/>
      <c r="V434" s="41"/>
      <c r="W434" s="41"/>
      <c r="X434" s="41"/>
      <c r="Y434" s="41"/>
      <c r="Z434" s="41"/>
    </row>
    <row r="435" spans="19:26" x14ac:dyDescent="0.25">
      <c r="S435" s="30"/>
      <c r="T435" s="30"/>
      <c r="V435" s="41"/>
      <c r="W435" s="41"/>
      <c r="X435" s="41"/>
      <c r="Y435" s="41"/>
      <c r="Z435" s="41"/>
    </row>
    <row r="436" spans="19:26" x14ac:dyDescent="0.25">
      <c r="S436" s="30"/>
      <c r="T436" s="30"/>
      <c r="V436" s="41"/>
      <c r="W436" s="41"/>
      <c r="X436" s="41"/>
      <c r="Y436" s="41"/>
      <c r="Z436" s="41"/>
    </row>
    <row r="437" spans="19:26" x14ac:dyDescent="0.25">
      <c r="S437" s="30"/>
      <c r="T437" s="30"/>
      <c r="V437" s="41"/>
      <c r="W437" s="41"/>
      <c r="X437" s="41"/>
      <c r="Y437" s="41"/>
      <c r="Z437" s="41"/>
    </row>
    <row r="438" spans="19:26" x14ac:dyDescent="0.25">
      <c r="S438" s="30"/>
      <c r="T438" s="30"/>
      <c r="V438" s="41"/>
      <c r="W438" s="41"/>
      <c r="X438" s="41"/>
      <c r="Y438" s="41"/>
      <c r="Z438" s="41"/>
    </row>
    <row r="439" spans="19:26" x14ac:dyDescent="0.25">
      <c r="S439" s="30"/>
      <c r="T439" s="30"/>
      <c r="V439" s="41"/>
      <c r="W439" s="41"/>
      <c r="X439" s="41"/>
      <c r="Y439" s="41"/>
      <c r="Z439" s="41"/>
    </row>
    <row r="440" spans="19:26" x14ac:dyDescent="0.25">
      <c r="S440" s="30"/>
      <c r="T440" s="30"/>
      <c r="V440" s="41"/>
      <c r="W440" s="41"/>
      <c r="X440" s="41"/>
      <c r="Y440" s="41"/>
      <c r="Z440" s="41"/>
    </row>
    <row r="441" spans="19:26" x14ac:dyDescent="0.25">
      <c r="S441" s="30"/>
      <c r="T441" s="30"/>
      <c r="V441" s="41"/>
      <c r="W441" s="41"/>
      <c r="X441" s="41"/>
      <c r="Y441" s="41"/>
      <c r="Z441" s="41"/>
    </row>
    <row r="442" spans="19:26" x14ac:dyDescent="0.25">
      <c r="S442" s="30"/>
      <c r="T442" s="30"/>
      <c r="V442" s="41"/>
      <c r="W442" s="41"/>
      <c r="X442" s="41"/>
      <c r="Y442" s="41"/>
      <c r="Z442" s="41"/>
    </row>
    <row r="443" spans="19:26" x14ac:dyDescent="0.25">
      <c r="S443" s="30"/>
      <c r="T443" s="30"/>
      <c r="V443" s="41"/>
      <c r="W443" s="41"/>
      <c r="X443" s="41"/>
      <c r="Y443" s="41"/>
      <c r="Z443" s="41"/>
    </row>
    <row r="444" spans="19:26" x14ac:dyDescent="0.25">
      <c r="S444" s="30"/>
      <c r="T444" s="30"/>
      <c r="V444" s="41"/>
      <c r="W444" s="41"/>
      <c r="X444" s="41"/>
      <c r="Y444" s="41"/>
      <c r="Z444" s="41"/>
    </row>
    <row r="445" spans="19:26" x14ac:dyDescent="0.25">
      <c r="S445" s="30"/>
      <c r="T445" s="30"/>
      <c r="V445" s="41"/>
      <c r="W445" s="41"/>
      <c r="X445" s="41"/>
      <c r="Y445" s="41"/>
      <c r="Z445" s="41"/>
    </row>
    <row r="446" spans="19:26" x14ac:dyDescent="0.25">
      <c r="S446" s="30"/>
      <c r="T446" s="30"/>
      <c r="V446" s="41"/>
      <c r="W446" s="41"/>
      <c r="X446" s="41"/>
      <c r="Y446" s="41"/>
      <c r="Z446" s="41"/>
    </row>
    <row r="447" spans="19:26" x14ac:dyDescent="0.25">
      <c r="S447" s="30"/>
      <c r="T447" s="30"/>
      <c r="V447" s="41"/>
      <c r="W447" s="41"/>
      <c r="X447" s="41"/>
      <c r="Y447" s="41"/>
      <c r="Z447" s="41"/>
    </row>
    <row r="448" spans="19:26" x14ac:dyDescent="0.25">
      <c r="S448" s="30"/>
      <c r="T448" s="30"/>
      <c r="V448" s="41"/>
      <c r="W448" s="41"/>
      <c r="X448" s="41"/>
      <c r="Y448" s="41"/>
      <c r="Z448" s="41"/>
    </row>
    <row r="449" spans="19:26" x14ac:dyDescent="0.25">
      <c r="S449" s="30"/>
      <c r="T449" s="30"/>
      <c r="V449" s="41"/>
      <c r="W449" s="41"/>
      <c r="X449" s="41"/>
      <c r="Y449" s="41"/>
      <c r="Z449" s="41"/>
    </row>
    <row r="450" spans="19:26" x14ac:dyDescent="0.25">
      <c r="S450" s="30"/>
      <c r="T450" s="30"/>
      <c r="V450" s="41"/>
      <c r="W450" s="41"/>
      <c r="X450" s="41"/>
      <c r="Y450" s="41"/>
      <c r="Z450" s="41"/>
    </row>
    <row r="451" spans="19:26" x14ac:dyDescent="0.25">
      <c r="S451" s="30"/>
      <c r="T451" s="30"/>
      <c r="V451" s="41"/>
      <c r="W451" s="41"/>
      <c r="X451" s="41"/>
      <c r="Y451" s="41"/>
      <c r="Z451" s="41"/>
    </row>
    <row r="452" spans="19:26" x14ac:dyDescent="0.25">
      <c r="S452" s="30"/>
      <c r="T452" s="30"/>
      <c r="V452" s="41"/>
      <c r="W452" s="41"/>
      <c r="X452" s="41"/>
      <c r="Y452" s="41"/>
      <c r="Z452" s="41"/>
    </row>
    <row r="453" spans="19:26" x14ac:dyDescent="0.25">
      <c r="S453" s="30"/>
      <c r="T453" s="30"/>
      <c r="V453" s="41"/>
      <c r="W453" s="41"/>
      <c r="X453" s="41"/>
      <c r="Y453" s="41"/>
      <c r="Z453" s="41"/>
    </row>
    <row r="454" spans="19:26" x14ac:dyDescent="0.25">
      <c r="S454" s="30"/>
      <c r="T454" s="30"/>
      <c r="V454" s="41"/>
      <c r="W454" s="41"/>
      <c r="X454" s="41"/>
      <c r="Y454" s="41"/>
      <c r="Z454" s="41"/>
    </row>
    <row r="455" spans="19:26" x14ac:dyDescent="0.25">
      <c r="S455" s="30"/>
      <c r="T455" s="30"/>
      <c r="V455" s="41"/>
      <c r="W455" s="41"/>
      <c r="X455" s="41"/>
      <c r="Y455" s="41"/>
      <c r="Z455" s="41"/>
    </row>
    <row r="456" spans="19:26" x14ac:dyDescent="0.25">
      <c r="S456" s="30"/>
      <c r="T456" s="30"/>
      <c r="V456" s="41"/>
      <c r="W456" s="41"/>
      <c r="X456" s="41"/>
      <c r="Y456" s="41"/>
      <c r="Z456" s="41"/>
    </row>
    <row r="457" spans="19:26" x14ac:dyDescent="0.25">
      <c r="S457" s="30"/>
      <c r="T457" s="30"/>
      <c r="V457" s="41"/>
      <c r="W457" s="41"/>
      <c r="X457" s="41"/>
      <c r="Y457" s="41"/>
      <c r="Z457" s="41"/>
    </row>
    <row r="458" spans="19:26" x14ac:dyDescent="0.25">
      <c r="S458" s="30"/>
      <c r="T458" s="30"/>
      <c r="V458" s="41"/>
      <c r="W458" s="41"/>
      <c r="X458" s="41"/>
      <c r="Y458" s="41"/>
      <c r="Z458" s="41"/>
    </row>
    <row r="459" spans="19:26" x14ac:dyDescent="0.25">
      <c r="S459" s="30"/>
      <c r="T459" s="30"/>
      <c r="V459" s="41"/>
      <c r="W459" s="41"/>
      <c r="X459" s="41"/>
      <c r="Y459" s="41"/>
      <c r="Z459" s="41"/>
    </row>
    <row r="460" spans="19:26" x14ac:dyDescent="0.25">
      <c r="S460" s="30"/>
      <c r="T460" s="30"/>
      <c r="V460" s="41"/>
      <c r="W460" s="41"/>
      <c r="X460" s="41"/>
      <c r="Y460" s="41"/>
      <c r="Z460" s="41"/>
    </row>
    <row r="461" spans="19:26" x14ac:dyDescent="0.25">
      <c r="S461" s="30"/>
      <c r="T461" s="30"/>
      <c r="V461" s="41"/>
      <c r="W461" s="41"/>
      <c r="X461" s="41"/>
      <c r="Y461" s="41"/>
      <c r="Z461" s="41"/>
    </row>
    <row r="462" spans="19:26" x14ac:dyDescent="0.25">
      <c r="S462" s="30"/>
      <c r="T462" s="30"/>
      <c r="V462" s="41"/>
      <c r="W462" s="41"/>
      <c r="X462" s="41"/>
      <c r="Y462" s="41"/>
      <c r="Z462" s="41"/>
    </row>
    <row r="463" spans="19:26" x14ac:dyDescent="0.25">
      <c r="S463" s="30"/>
      <c r="T463" s="30"/>
      <c r="V463" s="41"/>
      <c r="W463" s="41"/>
      <c r="X463" s="41"/>
      <c r="Y463" s="41"/>
      <c r="Z463" s="41"/>
    </row>
    <row r="464" spans="19:26" x14ac:dyDescent="0.25">
      <c r="S464" s="30"/>
      <c r="T464" s="30"/>
      <c r="V464" s="41"/>
      <c r="W464" s="41"/>
      <c r="X464" s="41"/>
      <c r="Y464" s="41"/>
      <c r="Z464" s="41"/>
    </row>
    <row r="465" spans="19:26" x14ac:dyDescent="0.25">
      <c r="S465" s="30"/>
      <c r="T465" s="30"/>
      <c r="V465" s="41"/>
      <c r="W465" s="41"/>
      <c r="X465" s="41"/>
      <c r="Y465" s="41"/>
      <c r="Z465" s="41"/>
    </row>
    <row r="466" spans="19:26" x14ac:dyDescent="0.25">
      <c r="S466" s="30"/>
      <c r="T466" s="30"/>
      <c r="V466" s="41"/>
      <c r="W466" s="41"/>
      <c r="X466" s="41"/>
      <c r="Y466" s="41"/>
      <c r="Z466" s="41"/>
    </row>
    <row r="467" spans="19:26" x14ac:dyDescent="0.25">
      <c r="S467" s="30"/>
      <c r="T467" s="30"/>
      <c r="V467" s="41"/>
      <c r="W467" s="41"/>
      <c r="X467" s="41"/>
      <c r="Y467" s="41"/>
      <c r="Z467" s="41"/>
    </row>
    <row r="468" spans="19:26" x14ac:dyDescent="0.25">
      <c r="S468" s="30"/>
      <c r="T468" s="30"/>
      <c r="V468" s="41"/>
      <c r="W468" s="41"/>
      <c r="X468" s="41"/>
      <c r="Y468" s="41"/>
      <c r="Z468" s="41"/>
    </row>
    <row r="469" spans="19:26" x14ac:dyDescent="0.25">
      <c r="S469" s="30"/>
      <c r="T469" s="30"/>
      <c r="V469" s="41"/>
      <c r="W469" s="41"/>
      <c r="X469" s="41"/>
      <c r="Y469" s="41"/>
      <c r="Z469" s="41"/>
    </row>
    <row r="470" spans="19:26" x14ac:dyDescent="0.25">
      <c r="S470" s="30"/>
      <c r="T470" s="30"/>
      <c r="V470" s="41"/>
      <c r="W470" s="41"/>
      <c r="X470" s="41"/>
      <c r="Y470" s="41"/>
      <c r="Z470" s="41"/>
    </row>
    <row r="471" spans="19:26" x14ac:dyDescent="0.25">
      <c r="S471" s="30"/>
      <c r="T471" s="30"/>
      <c r="V471" s="41"/>
      <c r="W471" s="41"/>
      <c r="X471" s="41"/>
      <c r="Y471" s="41"/>
      <c r="Z471" s="41"/>
    </row>
    <row r="472" spans="19:26" x14ac:dyDescent="0.25">
      <c r="S472" s="30"/>
      <c r="T472" s="30"/>
      <c r="V472" s="41"/>
      <c r="W472" s="41"/>
      <c r="X472" s="41"/>
      <c r="Y472" s="41"/>
      <c r="Z472" s="41"/>
    </row>
    <row r="473" spans="19:26" x14ac:dyDescent="0.25">
      <c r="S473" s="30"/>
      <c r="T473" s="30"/>
      <c r="V473" s="41"/>
      <c r="W473" s="41"/>
      <c r="X473" s="41"/>
      <c r="Y473" s="41"/>
      <c r="Z473" s="41"/>
    </row>
    <row r="474" spans="19:26" x14ac:dyDescent="0.25">
      <c r="S474" s="30"/>
      <c r="T474" s="30"/>
      <c r="V474" s="41"/>
      <c r="W474" s="41"/>
      <c r="X474" s="41"/>
      <c r="Y474" s="41"/>
      <c r="Z474" s="41"/>
    </row>
    <row r="475" spans="19:26" x14ac:dyDescent="0.25">
      <c r="S475" s="30"/>
      <c r="T475" s="30"/>
      <c r="V475" s="41"/>
      <c r="W475" s="41"/>
      <c r="X475" s="41"/>
      <c r="Y475" s="41"/>
      <c r="Z475" s="41"/>
    </row>
    <row r="476" spans="19:26" x14ac:dyDescent="0.25">
      <c r="S476" s="30"/>
      <c r="T476" s="30"/>
      <c r="V476" s="41"/>
      <c r="W476" s="41"/>
      <c r="X476" s="41"/>
      <c r="Y476" s="41"/>
      <c r="Z476" s="41"/>
    </row>
    <row r="477" spans="19:26" x14ac:dyDescent="0.25">
      <c r="S477" s="30"/>
      <c r="T477" s="30"/>
      <c r="V477" s="41"/>
      <c r="W477" s="41"/>
      <c r="X477" s="41"/>
      <c r="Y477" s="41"/>
      <c r="Z477" s="41"/>
    </row>
    <row r="478" spans="19:26" x14ac:dyDescent="0.25">
      <c r="S478" s="30"/>
      <c r="T478" s="30"/>
      <c r="V478" s="41"/>
      <c r="W478" s="41"/>
      <c r="X478" s="41"/>
      <c r="Y478" s="41"/>
      <c r="Z478" s="41"/>
    </row>
    <row r="479" spans="19:26" x14ac:dyDescent="0.25">
      <c r="S479" s="30"/>
      <c r="T479" s="30"/>
      <c r="V479" s="41"/>
      <c r="W479" s="41"/>
      <c r="X479" s="41"/>
      <c r="Y479" s="41"/>
      <c r="Z479" s="41"/>
    </row>
    <row r="480" spans="19:26" x14ac:dyDescent="0.25">
      <c r="S480" s="30"/>
      <c r="T480" s="30"/>
      <c r="V480" s="41"/>
      <c r="W480" s="41"/>
      <c r="X480" s="41"/>
      <c r="Y480" s="41"/>
      <c r="Z480" s="41"/>
    </row>
    <row r="481" spans="19:26" x14ac:dyDescent="0.25">
      <c r="S481" s="30"/>
      <c r="T481" s="30"/>
      <c r="V481" s="41"/>
      <c r="W481" s="41"/>
      <c r="X481" s="41"/>
      <c r="Y481" s="41"/>
      <c r="Z481" s="41"/>
    </row>
    <row r="482" spans="19:26" x14ac:dyDescent="0.25">
      <c r="S482" s="30"/>
      <c r="T482" s="30"/>
      <c r="V482" s="41"/>
      <c r="W482" s="41"/>
      <c r="X482" s="41"/>
      <c r="Y482" s="41"/>
      <c r="Z482" s="41"/>
    </row>
    <row r="483" spans="19:26" x14ac:dyDescent="0.25">
      <c r="S483" s="30"/>
      <c r="T483" s="30"/>
      <c r="V483" s="41"/>
      <c r="W483" s="41"/>
      <c r="X483" s="41"/>
      <c r="Y483" s="41"/>
      <c r="Z483" s="41"/>
    </row>
    <row r="484" spans="19:26" x14ac:dyDescent="0.25">
      <c r="S484" s="30"/>
      <c r="T484" s="30"/>
      <c r="V484" s="41"/>
      <c r="W484" s="41"/>
      <c r="X484" s="41"/>
      <c r="Y484" s="41"/>
      <c r="Z484" s="41"/>
    </row>
    <row r="485" spans="19:26" x14ac:dyDescent="0.25">
      <c r="S485" s="30"/>
      <c r="T485" s="30"/>
      <c r="V485" s="41"/>
      <c r="W485" s="41"/>
      <c r="X485" s="41"/>
      <c r="Y485" s="41"/>
      <c r="Z485" s="41"/>
    </row>
    <row r="486" spans="19:26" x14ac:dyDescent="0.25">
      <c r="S486" s="30"/>
      <c r="T486" s="30"/>
      <c r="V486" s="41"/>
      <c r="W486" s="41"/>
      <c r="X486" s="41"/>
      <c r="Y486" s="41"/>
      <c r="Z486" s="41"/>
    </row>
    <row r="487" spans="19:26" x14ac:dyDescent="0.25">
      <c r="S487" s="30"/>
      <c r="T487" s="30"/>
      <c r="V487" s="41"/>
      <c r="W487" s="41"/>
      <c r="X487" s="41"/>
      <c r="Y487" s="41"/>
      <c r="Z487" s="41"/>
    </row>
    <row r="488" spans="19:26" x14ac:dyDescent="0.25">
      <c r="S488" s="30"/>
      <c r="T488" s="30"/>
      <c r="V488" s="41"/>
      <c r="W488" s="41"/>
      <c r="X488" s="41"/>
      <c r="Y488" s="41"/>
      <c r="Z488" s="41"/>
    </row>
    <row r="489" spans="19:26" x14ac:dyDescent="0.25">
      <c r="S489" s="30"/>
      <c r="T489" s="30"/>
      <c r="V489" s="41"/>
      <c r="W489" s="41"/>
      <c r="X489" s="41"/>
      <c r="Y489" s="41"/>
      <c r="Z489" s="41"/>
    </row>
    <row r="490" spans="19:26" x14ac:dyDescent="0.25">
      <c r="S490" s="30"/>
      <c r="T490" s="30"/>
      <c r="V490" s="41"/>
      <c r="W490" s="41"/>
      <c r="X490" s="41"/>
      <c r="Y490" s="41"/>
      <c r="Z490" s="41"/>
    </row>
    <row r="491" spans="19:26" x14ac:dyDescent="0.25">
      <c r="S491" s="30"/>
      <c r="T491" s="30"/>
      <c r="V491" s="41"/>
      <c r="W491" s="41"/>
      <c r="X491" s="41"/>
      <c r="Y491" s="41"/>
      <c r="Z491" s="41"/>
    </row>
    <row r="492" spans="19:26" x14ac:dyDescent="0.25">
      <c r="S492" s="30"/>
      <c r="T492" s="30"/>
      <c r="V492" s="41"/>
      <c r="W492" s="41"/>
      <c r="X492" s="41"/>
      <c r="Y492" s="41"/>
      <c r="Z492" s="41"/>
    </row>
    <row r="493" spans="19:26" x14ac:dyDescent="0.25">
      <c r="S493" s="30"/>
      <c r="T493" s="30"/>
      <c r="V493" s="41"/>
      <c r="W493" s="41"/>
      <c r="X493" s="41"/>
      <c r="Y493" s="41"/>
      <c r="Z493" s="41"/>
    </row>
    <row r="494" spans="19:26" x14ac:dyDescent="0.25">
      <c r="S494" s="30"/>
      <c r="T494" s="30"/>
      <c r="V494" s="41"/>
      <c r="W494" s="41"/>
      <c r="X494" s="41"/>
      <c r="Y494" s="41"/>
      <c r="Z494" s="41"/>
    </row>
    <row r="495" spans="19:26" x14ac:dyDescent="0.25">
      <c r="S495" s="30"/>
      <c r="T495" s="30"/>
      <c r="V495" s="41"/>
      <c r="W495" s="41"/>
      <c r="X495" s="41"/>
      <c r="Y495" s="41"/>
      <c r="Z495" s="41"/>
    </row>
    <row r="496" spans="19:26" x14ac:dyDescent="0.25">
      <c r="S496" s="30"/>
      <c r="T496" s="30"/>
      <c r="V496" s="41"/>
      <c r="W496" s="41"/>
      <c r="X496" s="41"/>
      <c r="Y496" s="41"/>
      <c r="Z496" s="41"/>
    </row>
    <row r="497" spans="19:26" x14ac:dyDescent="0.25">
      <c r="S497" s="30"/>
      <c r="T497" s="30"/>
      <c r="V497" s="41"/>
      <c r="W497" s="41"/>
      <c r="X497" s="41"/>
      <c r="Y497" s="41"/>
      <c r="Z497" s="41"/>
    </row>
    <row r="498" spans="19:26" x14ac:dyDescent="0.25">
      <c r="S498" s="30"/>
      <c r="T498" s="30"/>
      <c r="V498" s="41"/>
      <c r="W498" s="41"/>
      <c r="X498" s="41"/>
      <c r="Y498" s="41"/>
      <c r="Z498" s="41"/>
    </row>
    <row r="499" spans="19:26" x14ac:dyDescent="0.25">
      <c r="S499" s="30"/>
      <c r="T499" s="30"/>
      <c r="V499" s="41"/>
      <c r="W499" s="41"/>
      <c r="X499" s="41"/>
      <c r="Y499" s="41"/>
      <c r="Z499" s="41"/>
    </row>
    <row r="500" spans="19:26" x14ac:dyDescent="0.25">
      <c r="S500" s="30"/>
      <c r="T500" s="30"/>
      <c r="V500" s="41"/>
      <c r="W500" s="41"/>
      <c r="X500" s="41"/>
      <c r="Y500" s="41"/>
      <c r="Z500" s="41"/>
    </row>
    <row r="501" spans="19:26" x14ac:dyDescent="0.25">
      <c r="S501" s="30"/>
      <c r="T501" s="30"/>
      <c r="V501" s="41"/>
      <c r="W501" s="41"/>
      <c r="X501" s="41"/>
      <c r="Y501" s="41"/>
      <c r="Z501" s="41"/>
    </row>
    <row r="502" spans="19:26" x14ac:dyDescent="0.25">
      <c r="S502" s="30"/>
      <c r="T502" s="30"/>
      <c r="V502" s="41"/>
      <c r="W502" s="41"/>
      <c r="X502" s="41"/>
      <c r="Y502" s="41"/>
      <c r="Z502" s="41"/>
    </row>
    <row r="503" spans="19:26" x14ac:dyDescent="0.25">
      <c r="S503" s="30"/>
      <c r="T503" s="30"/>
      <c r="V503" s="41"/>
      <c r="W503" s="41"/>
      <c r="X503" s="41"/>
      <c r="Y503" s="41"/>
      <c r="Z503" s="41"/>
    </row>
    <row r="504" spans="19:26" x14ac:dyDescent="0.25">
      <c r="S504" s="30"/>
      <c r="T504" s="30"/>
      <c r="V504" s="41"/>
      <c r="W504" s="41"/>
      <c r="X504" s="41"/>
      <c r="Y504" s="41"/>
      <c r="Z504" s="41"/>
    </row>
    <row r="505" spans="19:26" x14ac:dyDescent="0.25">
      <c r="S505" s="30"/>
      <c r="T505" s="30"/>
      <c r="V505" s="41"/>
      <c r="W505" s="41"/>
      <c r="X505" s="41"/>
      <c r="Y505" s="41"/>
      <c r="Z505" s="41"/>
    </row>
    <row r="506" spans="19:26" x14ac:dyDescent="0.25">
      <c r="S506" s="30"/>
      <c r="T506" s="30"/>
      <c r="V506" s="41"/>
      <c r="W506" s="41"/>
      <c r="X506" s="41"/>
      <c r="Y506" s="41"/>
      <c r="Z506" s="41"/>
    </row>
    <row r="507" spans="19:26" x14ac:dyDescent="0.25">
      <c r="S507" s="30"/>
      <c r="T507" s="30"/>
      <c r="V507" s="41"/>
      <c r="W507" s="41"/>
      <c r="X507" s="41"/>
      <c r="Y507" s="41"/>
      <c r="Z507" s="41"/>
    </row>
    <row r="508" spans="19:26" x14ac:dyDescent="0.25">
      <c r="S508" s="30"/>
      <c r="T508" s="30"/>
      <c r="V508" s="41"/>
      <c r="W508" s="41"/>
      <c r="X508" s="41"/>
      <c r="Y508" s="41"/>
      <c r="Z508" s="41"/>
    </row>
    <row r="509" spans="19:26" x14ac:dyDescent="0.25">
      <c r="S509" s="30"/>
      <c r="T509" s="30"/>
      <c r="V509" s="41"/>
      <c r="W509" s="41"/>
      <c r="X509" s="41"/>
      <c r="Y509" s="41"/>
      <c r="Z509" s="41"/>
    </row>
    <row r="510" spans="19:26" x14ac:dyDescent="0.25">
      <c r="S510" s="30"/>
      <c r="T510" s="30"/>
      <c r="V510" s="41"/>
      <c r="W510" s="41"/>
      <c r="X510" s="41"/>
      <c r="Y510" s="41"/>
      <c r="Z510" s="41"/>
    </row>
    <row r="511" spans="19:26" x14ac:dyDescent="0.25">
      <c r="S511" s="30"/>
      <c r="T511" s="30"/>
      <c r="V511" s="41"/>
      <c r="W511" s="41"/>
      <c r="X511" s="41"/>
      <c r="Y511" s="41"/>
      <c r="Z511" s="41"/>
    </row>
    <row r="512" spans="19:26" x14ac:dyDescent="0.25">
      <c r="S512" s="30"/>
      <c r="T512" s="30"/>
      <c r="V512" s="41"/>
      <c r="W512" s="41"/>
      <c r="X512" s="41"/>
      <c r="Y512" s="41"/>
      <c r="Z512" s="41"/>
    </row>
    <row r="513" spans="19:26" x14ac:dyDescent="0.25">
      <c r="S513" s="30"/>
      <c r="T513" s="30"/>
      <c r="V513" s="41"/>
      <c r="W513" s="41"/>
      <c r="X513" s="41"/>
      <c r="Y513" s="41"/>
      <c r="Z513" s="41"/>
    </row>
    <row r="514" spans="19:26" x14ac:dyDescent="0.25">
      <c r="S514" s="30"/>
      <c r="T514" s="30"/>
      <c r="V514" s="41"/>
      <c r="W514" s="41"/>
      <c r="X514" s="41"/>
      <c r="Y514" s="41"/>
      <c r="Z514" s="41"/>
    </row>
    <row r="515" spans="19:26" x14ac:dyDescent="0.25">
      <c r="S515" s="30"/>
      <c r="T515" s="30"/>
      <c r="V515" s="41"/>
      <c r="W515" s="41"/>
      <c r="X515" s="41"/>
      <c r="Y515" s="41"/>
      <c r="Z515" s="41"/>
    </row>
    <row r="516" spans="19:26" x14ac:dyDescent="0.25">
      <c r="S516" s="30"/>
      <c r="T516" s="30"/>
      <c r="V516" s="41"/>
      <c r="W516" s="41"/>
      <c r="X516" s="41"/>
      <c r="Y516" s="41"/>
      <c r="Z516" s="41"/>
    </row>
    <row r="517" spans="19:26" x14ac:dyDescent="0.25">
      <c r="S517" s="30"/>
      <c r="T517" s="30"/>
      <c r="V517" s="41"/>
      <c r="W517" s="41"/>
      <c r="X517" s="41"/>
      <c r="Y517" s="41"/>
      <c r="Z517" s="41"/>
    </row>
    <row r="518" spans="19:26" x14ac:dyDescent="0.25">
      <c r="S518" s="30"/>
      <c r="T518" s="30"/>
      <c r="V518" s="41"/>
      <c r="W518" s="41"/>
      <c r="X518" s="41"/>
      <c r="Y518" s="41"/>
      <c r="Z518" s="41"/>
    </row>
    <row r="519" spans="19:26" x14ac:dyDescent="0.25">
      <c r="S519" s="30"/>
      <c r="T519" s="30"/>
      <c r="V519" s="41"/>
      <c r="W519" s="41"/>
      <c r="X519" s="41"/>
      <c r="Y519" s="41"/>
      <c r="Z519" s="41"/>
    </row>
    <row r="520" spans="19:26" x14ac:dyDescent="0.25">
      <c r="S520" s="30"/>
      <c r="T520" s="30"/>
      <c r="V520" s="41"/>
      <c r="W520" s="41"/>
      <c r="X520" s="41"/>
      <c r="Y520" s="41"/>
      <c r="Z520" s="41"/>
    </row>
    <row r="521" spans="19:26" x14ac:dyDescent="0.25">
      <c r="S521" s="30"/>
      <c r="T521" s="30"/>
      <c r="V521" s="41"/>
      <c r="W521" s="41"/>
      <c r="X521" s="41"/>
      <c r="Y521" s="41"/>
      <c r="Z521" s="41"/>
    </row>
    <row r="522" spans="19:26" x14ac:dyDescent="0.25">
      <c r="S522" s="30"/>
      <c r="T522" s="30"/>
      <c r="V522" s="41"/>
      <c r="W522" s="41"/>
      <c r="X522" s="41"/>
      <c r="Y522" s="41"/>
      <c r="Z522" s="41"/>
    </row>
    <row r="523" spans="19:26" x14ac:dyDescent="0.25">
      <c r="S523" s="30"/>
      <c r="T523" s="30"/>
      <c r="V523" s="41"/>
      <c r="W523" s="41"/>
      <c r="X523" s="41"/>
      <c r="Y523" s="41"/>
      <c r="Z523" s="41"/>
    </row>
    <row r="524" spans="19:26" x14ac:dyDescent="0.25">
      <c r="S524" s="30"/>
      <c r="T524" s="30"/>
      <c r="V524" s="41"/>
      <c r="W524" s="41"/>
      <c r="X524" s="41"/>
      <c r="Y524" s="41"/>
      <c r="Z524" s="41"/>
    </row>
    <row r="525" spans="19:26" x14ac:dyDescent="0.25">
      <c r="S525" s="30"/>
      <c r="T525" s="30"/>
      <c r="V525" s="41"/>
      <c r="W525" s="41"/>
      <c r="X525" s="41"/>
      <c r="Y525" s="41"/>
      <c r="Z525" s="41"/>
    </row>
    <row r="526" spans="19:26" x14ac:dyDescent="0.25">
      <c r="S526" s="30"/>
      <c r="T526" s="30"/>
      <c r="V526" s="41"/>
      <c r="W526" s="41"/>
      <c r="X526" s="41"/>
      <c r="Y526" s="41"/>
      <c r="Z526" s="41"/>
    </row>
    <row r="527" spans="19:26" x14ac:dyDescent="0.25">
      <c r="S527" s="30"/>
      <c r="T527" s="30"/>
      <c r="V527" s="41"/>
      <c r="W527" s="41"/>
      <c r="X527" s="41"/>
      <c r="Y527" s="41"/>
      <c r="Z527" s="41"/>
    </row>
    <row r="528" spans="19:26" x14ac:dyDescent="0.25">
      <c r="S528" s="30"/>
      <c r="T528" s="30"/>
      <c r="V528" s="41"/>
      <c r="W528" s="41"/>
      <c r="X528" s="41"/>
      <c r="Y528" s="41"/>
      <c r="Z528" s="41"/>
    </row>
    <row r="529" spans="19:26" x14ac:dyDescent="0.25">
      <c r="S529" s="30"/>
      <c r="T529" s="30"/>
      <c r="V529" s="41"/>
      <c r="W529" s="41"/>
      <c r="X529" s="41"/>
      <c r="Y529" s="41"/>
      <c r="Z529" s="41"/>
    </row>
    <row r="530" spans="19:26" x14ac:dyDescent="0.25">
      <c r="S530" s="30"/>
      <c r="T530" s="30"/>
      <c r="V530" s="41"/>
      <c r="W530" s="41"/>
      <c r="X530" s="41"/>
      <c r="Y530" s="41"/>
      <c r="Z530" s="41"/>
    </row>
    <row r="531" spans="19:26" x14ac:dyDescent="0.25">
      <c r="S531" s="30"/>
      <c r="T531" s="30"/>
      <c r="V531" s="41"/>
      <c r="W531" s="41"/>
      <c r="X531" s="41"/>
      <c r="Y531" s="41"/>
      <c r="Z531" s="41"/>
    </row>
    <row r="532" spans="19:26" x14ac:dyDescent="0.25">
      <c r="S532" s="30"/>
      <c r="T532" s="30"/>
      <c r="V532" s="41"/>
      <c r="W532" s="41"/>
      <c r="X532" s="41"/>
      <c r="Y532" s="41"/>
      <c r="Z532" s="41"/>
    </row>
    <row r="533" spans="19:26" x14ac:dyDescent="0.25">
      <c r="S533" s="30"/>
      <c r="T533" s="30"/>
      <c r="V533" s="41"/>
      <c r="W533" s="41"/>
      <c r="X533" s="41"/>
      <c r="Y533" s="41"/>
      <c r="Z533" s="41"/>
    </row>
    <row r="534" spans="19:26" x14ac:dyDescent="0.25">
      <c r="S534" s="30"/>
      <c r="T534" s="30"/>
      <c r="V534" s="41"/>
      <c r="W534" s="41"/>
      <c r="X534" s="41"/>
      <c r="Y534" s="41"/>
      <c r="Z534" s="41"/>
    </row>
    <row r="535" spans="19:26" x14ac:dyDescent="0.25">
      <c r="S535" s="30"/>
      <c r="T535" s="30"/>
      <c r="V535" s="41"/>
      <c r="W535" s="41"/>
      <c r="X535" s="41"/>
      <c r="Y535" s="41"/>
      <c r="Z535" s="41"/>
    </row>
    <row r="536" spans="19:26" x14ac:dyDescent="0.25">
      <c r="S536" s="30"/>
      <c r="T536" s="30"/>
      <c r="V536" s="41"/>
      <c r="W536" s="41"/>
      <c r="X536" s="41"/>
      <c r="Y536" s="41"/>
      <c r="Z536" s="41"/>
    </row>
    <row r="537" spans="19:26" x14ac:dyDescent="0.25">
      <c r="S537" s="30"/>
      <c r="T537" s="30"/>
      <c r="V537" s="41"/>
      <c r="W537" s="41"/>
      <c r="X537" s="41"/>
      <c r="Y537" s="41"/>
      <c r="Z537" s="41"/>
    </row>
    <row r="538" spans="19:26" x14ac:dyDescent="0.25">
      <c r="S538" s="30"/>
      <c r="T538" s="30"/>
      <c r="V538" s="41"/>
      <c r="W538" s="41"/>
      <c r="X538" s="41"/>
      <c r="Y538" s="41"/>
      <c r="Z538" s="41"/>
    </row>
    <row r="539" spans="19:26" x14ac:dyDescent="0.25">
      <c r="S539" s="30"/>
      <c r="T539" s="30"/>
      <c r="V539" s="41"/>
      <c r="W539" s="41"/>
      <c r="X539" s="41"/>
      <c r="Y539" s="41"/>
      <c r="Z539" s="41"/>
    </row>
    <row r="540" spans="19:26" x14ac:dyDescent="0.25">
      <c r="S540" s="30"/>
      <c r="T540" s="30"/>
      <c r="V540" s="41"/>
      <c r="W540" s="41"/>
      <c r="X540" s="41"/>
      <c r="Y540" s="41"/>
      <c r="Z540" s="41"/>
    </row>
    <row r="541" spans="19:26" x14ac:dyDescent="0.25">
      <c r="S541" s="30"/>
      <c r="T541" s="30"/>
      <c r="V541" s="41"/>
      <c r="W541" s="41"/>
      <c r="X541" s="41"/>
      <c r="Y541" s="41"/>
      <c r="Z541" s="41"/>
    </row>
    <row r="542" spans="19:26" x14ac:dyDescent="0.25">
      <c r="S542" s="30"/>
      <c r="T542" s="30"/>
      <c r="V542" s="41"/>
      <c r="W542" s="41"/>
      <c r="X542" s="41"/>
      <c r="Y542" s="41"/>
      <c r="Z542" s="41"/>
    </row>
    <row r="543" spans="19:26" x14ac:dyDescent="0.25">
      <c r="S543" s="30"/>
      <c r="T543" s="30"/>
      <c r="V543" s="41"/>
      <c r="W543" s="41"/>
      <c r="X543" s="41"/>
      <c r="Y543" s="41"/>
      <c r="Z543" s="41"/>
    </row>
    <row r="544" spans="19:26" x14ac:dyDescent="0.25">
      <c r="S544" s="30"/>
      <c r="T544" s="30"/>
      <c r="V544" s="41"/>
      <c r="W544" s="41"/>
      <c r="X544" s="41"/>
      <c r="Y544" s="41"/>
      <c r="Z544" s="41"/>
    </row>
    <row r="545" spans="19:26" x14ac:dyDescent="0.25">
      <c r="S545" s="30"/>
      <c r="T545" s="30"/>
      <c r="V545" s="41"/>
      <c r="W545" s="41"/>
      <c r="X545" s="41"/>
      <c r="Y545" s="41"/>
      <c r="Z545" s="41"/>
    </row>
    <row r="546" spans="19:26" x14ac:dyDescent="0.25">
      <c r="S546" s="30"/>
      <c r="T546" s="30"/>
      <c r="V546" s="41"/>
      <c r="W546" s="41"/>
      <c r="X546" s="41"/>
      <c r="Y546" s="41"/>
      <c r="Z546" s="41"/>
    </row>
    <row r="547" spans="19:26" x14ac:dyDescent="0.25">
      <c r="S547" s="30"/>
      <c r="T547" s="30"/>
      <c r="V547" s="41"/>
      <c r="W547" s="41"/>
      <c r="X547" s="41"/>
      <c r="Y547" s="41"/>
      <c r="Z547" s="41"/>
    </row>
    <row r="548" spans="19:26" x14ac:dyDescent="0.25">
      <c r="S548" s="30"/>
      <c r="T548" s="30"/>
      <c r="V548" s="41"/>
      <c r="W548" s="41"/>
      <c r="X548" s="41"/>
      <c r="Y548" s="41"/>
      <c r="Z548" s="41"/>
    </row>
    <row r="549" spans="19:26" x14ac:dyDescent="0.25">
      <c r="S549" s="30"/>
      <c r="T549" s="30"/>
      <c r="V549" s="41"/>
      <c r="W549" s="41"/>
      <c r="X549" s="41"/>
      <c r="Y549" s="41"/>
      <c r="Z549" s="41"/>
    </row>
    <row r="550" spans="19:26" x14ac:dyDescent="0.25">
      <c r="S550" s="30"/>
      <c r="T550" s="30"/>
      <c r="V550" s="41"/>
      <c r="W550" s="41"/>
      <c r="X550" s="41"/>
      <c r="Y550" s="41"/>
      <c r="Z550" s="41"/>
    </row>
    <row r="551" spans="19:26" x14ac:dyDescent="0.25">
      <c r="S551" s="30"/>
      <c r="T551" s="30"/>
      <c r="V551" s="41"/>
      <c r="W551" s="41"/>
      <c r="X551" s="41"/>
      <c r="Y551" s="41"/>
      <c r="Z551" s="41"/>
    </row>
    <row r="552" spans="19:26" x14ac:dyDescent="0.25">
      <c r="S552" s="30"/>
      <c r="T552" s="30"/>
      <c r="V552" s="41"/>
      <c r="W552" s="41"/>
      <c r="X552" s="41"/>
      <c r="Y552" s="41"/>
      <c r="Z552" s="41"/>
    </row>
    <row r="553" spans="19:26" x14ac:dyDescent="0.25">
      <c r="S553" s="30"/>
      <c r="T553" s="30"/>
      <c r="V553" s="41"/>
      <c r="W553" s="41"/>
      <c r="X553" s="41"/>
      <c r="Y553" s="41"/>
      <c r="Z553" s="41"/>
    </row>
    <row r="554" spans="19:26" x14ac:dyDescent="0.25">
      <c r="S554" s="30"/>
      <c r="T554" s="30"/>
      <c r="V554" s="41"/>
      <c r="W554" s="41"/>
      <c r="X554" s="41"/>
      <c r="Y554" s="41"/>
      <c r="Z554" s="41"/>
    </row>
    <row r="555" spans="19:26" x14ac:dyDescent="0.25">
      <c r="S555" s="30"/>
      <c r="T555" s="30"/>
      <c r="V555" s="41"/>
      <c r="W555" s="41"/>
      <c r="X555" s="41"/>
      <c r="Y555" s="41"/>
      <c r="Z555" s="41"/>
    </row>
    <row r="556" spans="19:26" x14ac:dyDescent="0.25">
      <c r="S556" s="30"/>
      <c r="T556" s="30"/>
      <c r="V556" s="41"/>
      <c r="W556" s="41"/>
      <c r="X556" s="41"/>
      <c r="Y556" s="41"/>
      <c r="Z556" s="41"/>
    </row>
    <row r="557" spans="19:26" x14ac:dyDescent="0.25">
      <c r="S557" s="30"/>
      <c r="T557" s="30"/>
      <c r="V557" s="41"/>
      <c r="W557" s="41"/>
      <c r="X557" s="41"/>
      <c r="Y557" s="41"/>
      <c r="Z557" s="41"/>
    </row>
    <row r="558" spans="19:26" x14ac:dyDescent="0.25">
      <c r="S558" s="30"/>
      <c r="T558" s="30"/>
      <c r="V558" s="41"/>
      <c r="W558" s="41"/>
      <c r="X558" s="41"/>
      <c r="Y558" s="41"/>
      <c r="Z558" s="41"/>
    </row>
    <row r="559" spans="19:26" x14ac:dyDescent="0.25">
      <c r="S559" s="30"/>
      <c r="T559" s="30"/>
      <c r="V559" s="41"/>
      <c r="W559" s="41"/>
      <c r="X559" s="41"/>
      <c r="Y559" s="41"/>
      <c r="Z559" s="41"/>
    </row>
    <row r="560" spans="19:26" x14ac:dyDescent="0.25">
      <c r="S560" s="30"/>
      <c r="T560" s="30"/>
      <c r="V560" s="41"/>
      <c r="W560" s="41"/>
      <c r="X560" s="41"/>
      <c r="Y560" s="41"/>
      <c r="Z560" s="41"/>
    </row>
    <row r="561" spans="19:26" x14ac:dyDescent="0.25">
      <c r="S561" s="30"/>
      <c r="T561" s="30"/>
      <c r="V561" s="41"/>
      <c r="W561" s="41"/>
      <c r="X561" s="41"/>
      <c r="Y561" s="41"/>
      <c r="Z561" s="41"/>
    </row>
    <row r="562" spans="19:26" x14ac:dyDescent="0.25">
      <c r="S562" s="30"/>
      <c r="T562" s="30"/>
      <c r="V562" s="41"/>
      <c r="W562" s="41"/>
      <c r="X562" s="41"/>
      <c r="Y562" s="41"/>
      <c r="Z562" s="41"/>
    </row>
    <row r="563" spans="19:26" x14ac:dyDescent="0.25">
      <c r="S563" s="30"/>
      <c r="T563" s="30"/>
      <c r="V563" s="41"/>
      <c r="W563" s="41"/>
      <c r="X563" s="41"/>
      <c r="Y563" s="41"/>
      <c r="Z563" s="41"/>
    </row>
    <row r="564" spans="19:26" x14ac:dyDescent="0.25">
      <c r="S564" s="30"/>
      <c r="T564" s="30"/>
      <c r="V564" s="41"/>
      <c r="W564" s="41"/>
      <c r="X564" s="41"/>
      <c r="Y564" s="41"/>
      <c r="Z564" s="41"/>
    </row>
    <row r="565" spans="19:26" x14ac:dyDescent="0.25">
      <c r="S565" s="30"/>
      <c r="T565" s="30"/>
      <c r="V565" s="41"/>
      <c r="W565" s="41"/>
      <c r="X565" s="41"/>
      <c r="Y565" s="41"/>
      <c r="Z565" s="41"/>
    </row>
    <row r="566" spans="19:26" x14ac:dyDescent="0.25">
      <c r="S566" s="30"/>
      <c r="T566" s="30"/>
      <c r="V566" s="41"/>
      <c r="W566" s="41"/>
      <c r="X566" s="41"/>
      <c r="Y566" s="41"/>
      <c r="Z566" s="41"/>
    </row>
    <row r="567" spans="19:26" x14ac:dyDescent="0.25">
      <c r="S567" s="30"/>
      <c r="T567" s="30"/>
      <c r="V567" s="41"/>
      <c r="W567" s="41"/>
      <c r="X567" s="41"/>
      <c r="Y567" s="41"/>
      <c r="Z567" s="41"/>
    </row>
    <row r="568" spans="19:26" x14ac:dyDescent="0.25">
      <c r="S568" s="30"/>
      <c r="T568" s="30"/>
      <c r="V568" s="41"/>
      <c r="W568" s="41"/>
      <c r="X568" s="41"/>
      <c r="Y568" s="41"/>
      <c r="Z568" s="41"/>
    </row>
    <row r="569" spans="19:26" x14ac:dyDescent="0.25">
      <c r="S569" s="30"/>
      <c r="T569" s="30"/>
      <c r="V569" s="41"/>
      <c r="W569" s="41"/>
      <c r="X569" s="41"/>
      <c r="Y569" s="41"/>
      <c r="Z569" s="41"/>
    </row>
    <row r="570" spans="19:26" x14ac:dyDescent="0.25">
      <c r="S570" s="30"/>
      <c r="T570" s="30"/>
      <c r="V570" s="41"/>
      <c r="W570" s="41"/>
      <c r="X570" s="41"/>
      <c r="Y570" s="41"/>
      <c r="Z570" s="41"/>
    </row>
    <row r="571" spans="19:26" x14ac:dyDescent="0.25">
      <c r="S571" s="30"/>
      <c r="T571" s="30"/>
      <c r="V571" s="41"/>
      <c r="W571" s="41"/>
      <c r="X571" s="41"/>
      <c r="Y571" s="41"/>
      <c r="Z571" s="41"/>
    </row>
    <row r="572" spans="19:26" x14ac:dyDescent="0.25">
      <c r="S572" s="30"/>
      <c r="T572" s="30"/>
      <c r="V572" s="41"/>
      <c r="W572" s="41"/>
      <c r="X572" s="41"/>
      <c r="Y572" s="41"/>
      <c r="Z572" s="41"/>
    </row>
    <row r="573" spans="19:26" x14ac:dyDescent="0.25">
      <c r="S573" s="30"/>
      <c r="T573" s="30"/>
      <c r="V573" s="41"/>
      <c r="W573" s="41"/>
      <c r="X573" s="41"/>
      <c r="Y573" s="41"/>
      <c r="Z573" s="41"/>
    </row>
    <row r="574" spans="19:26" x14ac:dyDescent="0.25">
      <c r="S574" s="30"/>
      <c r="T574" s="30"/>
      <c r="V574" s="41"/>
      <c r="W574" s="41"/>
      <c r="X574" s="41"/>
      <c r="Y574" s="41"/>
      <c r="Z574" s="41"/>
    </row>
    <row r="575" spans="19:26" x14ac:dyDescent="0.25">
      <c r="S575" s="30"/>
      <c r="T575" s="30"/>
      <c r="V575" s="41"/>
      <c r="W575" s="41"/>
      <c r="X575" s="41"/>
      <c r="Y575" s="41"/>
      <c r="Z575" s="41"/>
    </row>
    <row r="576" spans="19:26" x14ac:dyDescent="0.25">
      <c r="S576" s="30"/>
      <c r="T576" s="30"/>
      <c r="V576" s="41"/>
      <c r="W576" s="41"/>
      <c r="X576" s="41"/>
      <c r="Y576" s="41"/>
      <c r="Z576" s="41"/>
    </row>
    <row r="577" spans="19:26" x14ac:dyDescent="0.25">
      <c r="S577" s="30"/>
      <c r="T577" s="30"/>
      <c r="V577" s="41"/>
      <c r="W577" s="41"/>
      <c r="X577" s="41"/>
      <c r="Y577" s="41"/>
      <c r="Z577" s="41"/>
    </row>
    <row r="578" spans="19:26" x14ac:dyDescent="0.25">
      <c r="S578" s="30"/>
      <c r="T578" s="30"/>
      <c r="V578" s="41"/>
      <c r="W578" s="41"/>
      <c r="X578" s="41"/>
      <c r="Y578" s="41"/>
      <c r="Z578" s="41"/>
    </row>
    <row r="579" spans="19:26" x14ac:dyDescent="0.25">
      <c r="S579" s="30"/>
      <c r="T579" s="30"/>
      <c r="V579" s="41"/>
      <c r="W579" s="41"/>
      <c r="X579" s="41"/>
      <c r="Y579" s="41"/>
      <c r="Z579" s="41"/>
    </row>
    <row r="580" spans="19:26" x14ac:dyDescent="0.25">
      <c r="S580" s="30"/>
      <c r="T580" s="30"/>
      <c r="V580" s="41"/>
      <c r="W580" s="41"/>
      <c r="X580" s="41"/>
      <c r="Y580" s="41"/>
      <c r="Z580" s="41"/>
    </row>
    <row r="581" spans="19:26" x14ac:dyDescent="0.25">
      <c r="S581" s="30"/>
      <c r="T581" s="30"/>
      <c r="V581" s="41"/>
      <c r="W581" s="41"/>
      <c r="X581" s="41"/>
      <c r="Y581" s="41"/>
      <c r="Z581" s="41"/>
    </row>
    <row r="582" spans="19:26" x14ac:dyDescent="0.25">
      <c r="S582" s="30"/>
      <c r="T582" s="30"/>
      <c r="V582" s="41"/>
      <c r="W582" s="41"/>
      <c r="X582" s="41"/>
      <c r="Y582" s="41"/>
      <c r="Z582" s="41"/>
    </row>
    <row r="583" spans="19:26" x14ac:dyDescent="0.25">
      <c r="S583" s="30"/>
      <c r="T583" s="30"/>
      <c r="V583" s="41"/>
      <c r="W583" s="41"/>
      <c r="X583" s="41"/>
      <c r="Y583" s="41"/>
      <c r="Z583" s="41"/>
    </row>
    <row r="584" spans="19:26" x14ac:dyDescent="0.25">
      <c r="S584" s="30"/>
      <c r="T584" s="30"/>
      <c r="V584" s="41"/>
      <c r="W584" s="41"/>
      <c r="X584" s="41"/>
      <c r="Y584" s="41"/>
      <c r="Z584" s="41"/>
    </row>
    <row r="585" spans="19:26" x14ac:dyDescent="0.25">
      <c r="S585" s="30"/>
      <c r="T585" s="30"/>
      <c r="V585" s="41"/>
      <c r="W585" s="41"/>
      <c r="X585" s="41"/>
      <c r="Y585" s="41"/>
      <c r="Z585" s="41"/>
    </row>
    <row r="586" spans="19:26" x14ac:dyDescent="0.25">
      <c r="S586" s="30"/>
      <c r="T586" s="30"/>
      <c r="V586" s="41"/>
      <c r="W586" s="41"/>
      <c r="X586" s="41"/>
      <c r="Y586" s="41"/>
      <c r="Z586" s="41"/>
    </row>
    <row r="587" spans="19:26" x14ac:dyDescent="0.25">
      <c r="S587" s="30"/>
      <c r="T587" s="30"/>
      <c r="V587" s="41"/>
      <c r="W587" s="41"/>
      <c r="X587" s="41"/>
      <c r="Y587" s="41"/>
      <c r="Z587" s="41"/>
    </row>
    <row r="588" spans="19:26" x14ac:dyDescent="0.25">
      <c r="S588" s="30"/>
      <c r="T588" s="30"/>
      <c r="V588" s="41"/>
      <c r="W588" s="41"/>
      <c r="X588" s="41"/>
      <c r="Y588" s="41"/>
      <c r="Z588" s="41"/>
    </row>
    <row r="589" spans="19:26" x14ac:dyDescent="0.25">
      <c r="S589" s="30"/>
      <c r="T589" s="30"/>
      <c r="V589" s="41"/>
      <c r="W589" s="41"/>
      <c r="X589" s="41"/>
      <c r="Y589" s="41"/>
      <c r="Z589" s="41"/>
    </row>
    <row r="590" spans="19:26" x14ac:dyDescent="0.25">
      <c r="S590" s="30"/>
      <c r="T590" s="30"/>
      <c r="V590" s="41"/>
      <c r="W590" s="41"/>
      <c r="X590" s="41"/>
      <c r="Y590" s="41"/>
      <c r="Z590" s="41"/>
    </row>
    <row r="591" spans="19:26" x14ac:dyDescent="0.25">
      <c r="S591" s="30"/>
      <c r="T591" s="30"/>
      <c r="V591" s="41"/>
      <c r="W591" s="41"/>
      <c r="X591" s="41"/>
      <c r="Y591" s="41"/>
      <c r="Z591" s="41"/>
    </row>
    <row r="592" spans="19:26" x14ac:dyDescent="0.25">
      <c r="S592" s="30"/>
      <c r="T592" s="30"/>
      <c r="V592" s="41"/>
      <c r="W592" s="41"/>
      <c r="X592" s="41"/>
      <c r="Y592" s="41"/>
      <c r="Z592" s="41"/>
    </row>
    <row r="593" spans="19:26" x14ac:dyDescent="0.25">
      <c r="S593" s="30"/>
      <c r="T593" s="30"/>
      <c r="V593" s="41"/>
      <c r="W593" s="41"/>
      <c r="X593" s="41"/>
      <c r="Y593" s="41"/>
      <c r="Z593" s="41"/>
    </row>
    <row r="594" spans="19:26" x14ac:dyDescent="0.25">
      <c r="S594" s="30"/>
      <c r="T594" s="30"/>
      <c r="V594" s="41"/>
      <c r="W594" s="41"/>
      <c r="X594" s="41"/>
      <c r="Y594" s="41"/>
      <c r="Z594" s="41"/>
    </row>
    <row r="595" spans="19:26" x14ac:dyDescent="0.25">
      <c r="S595" s="30"/>
      <c r="T595" s="30"/>
      <c r="V595" s="41"/>
      <c r="W595" s="41"/>
      <c r="X595" s="41"/>
      <c r="Y595" s="41"/>
      <c r="Z595" s="41"/>
    </row>
    <row r="596" spans="19:26" x14ac:dyDescent="0.25">
      <c r="S596" s="30"/>
      <c r="T596" s="30"/>
      <c r="V596" s="41"/>
      <c r="W596" s="41"/>
      <c r="X596" s="41"/>
      <c r="Y596" s="41"/>
      <c r="Z596" s="41"/>
    </row>
    <row r="597" spans="19:26" x14ac:dyDescent="0.25">
      <c r="S597" s="30"/>
      <c r="T597" s="30"/>
      <c r="V597" s="41"/>
      <c r="W597" s="41"/>
      <c r="X597" s="41"/>
      <c r="Y597" s="41"/>
      <c r="Z597" s="41"/>
    </row>
    <row r="598" spans="19:26" x14ac:dyDescent="0.25">
      <c r="S598" s="30"/>
      <c r="T598" s="30"/>
      <c r="V598" s="41"/>
      <c r="W598" s="41"/>
      <c r="X598" s="41"/>
      <c r="Y598" s="41"/>
      <c r="Z598" s="41"/>
    </row>
    <row r="599" spans="19:26" x14ac:dyDescent="0.25">
      <c r="S599" s="30"/>
      <c r="T599" s="30"/>
      <c r="V599" s="41"/>
      <c r="W599" s="41"/>
      <c r="X599" s="41"/>
      <c r="Y599" s="41"/>
      <c r="Z599" s="41"/>
    </row>
    <row r="600" spans="19:26" x14ac:dyDescent="0.25">
      <c r="S600" s="30"/>
      <c r="T600" s="30"/>
      <c r="V600" s="41"/>
      <c r="W600" s="41"/>
      <c r="X600" s="41"/>
      <c r="Y600" s="41"/>
      <c r="Z600" s="41"/>
    </row>
    <row r="601" spans="19:26" x14ac:dyDescent="0.25">
      <c r="S601" s="30"/>
      <c r="T601" s="30"/>
      <c r="V601" s="41"/>
      <c r="W601" s="41"/>
      <c r="X601" s="41"/>
      <c r="Y601" s="41"/>
      <c r="Z601" s="41"/>
    </row>
    <row r="602" spans="19:26" x14ac:dyDescent="0.25">
      <c r="S602" s="30"/>
      <c r="T602" s="30"/>
      <c r="V602" s="41"/>
      <c r="W602" s="41"/>
      <c r="X602" s="41"/>
      <c r="Y602" s="41"/>
      <c r="Z602" s="41"/>
    </row>
    <row r="603" spans="19:26" x14ac:dyDescent="0.25">
      <c r="S603" s="30"/>
      <c r="T603" s="30"/>
      <c r="V603" s="41"/>
      <c r="W603" s="41"/>
      <c r="X603" s="41"/>
      <c r="Y603" s="41"/>
      <c r="Z603" s="41"/>
    </row>
  </sheetData>
  <autoFilter ref="A2:U87">
    <filterColumn colId="9">
      <iconFilter iconSet="3Arrows"/>
    </filterColumn>
    <sortState ref="A3:U87">
      <sortCondition ref="B2:B87"/>
    </sortState>
  </autoFilter>
  <sortState ref="A3:Y57">
    <sortCondition sortBy="cellColor" ref="B3:B57" dxfId="1"/>
    <sortCondition ref="B3:B57"/>
  </sortState>
  <dataConsolidate/>
  <mergeCells count="2">
    <mergeCell ref="J1:K1"/>
    <mergeCell ref="L1:P1"/>
  </mergeCells>
  <printOptions horizontalCentered="1" gridLines="1"/>
  <pageMargins left="0.38" right="0.49" top="0.82" bottom="0.79" header="0.5" footer="0.5"/>
  <pageSetup paperSize="5" scale="60" firstPageNumber="36" fitToHeight="7" orientation="landscape" r:id="rId1"/>
  <headerFooter alignWithMargins="0">
    <oddHeader>&amp;L&amp;P of &amp;N&amp;C&amp;"Arial,Bold Italic"&amp;14&amp;A&amp;R&amp;D</oddHeader>
    <oddFooter xml:space="preserve">&amp;L&amp;8
&amp;Z&amp;F&amp;CINTERNAL USE ONLY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C00000"/>
  </sheetPr>
  <dimension ref="A1:CD118"/>
  <sheetViews>
    <sheetView zoomScaleNormal="100" zoomScaleSheetLayoutView="75" workbookViewId="0">
      <pane xSplit="4" ySplit="5" topLeftCell="E54" activePane="bottomRight" state="frozen"/>
      <selection pane="topRight" activeCell="E1" sqref="E1"/>
      <selection pane="bottomLeft" activeCell="A6" sqref="A6"/>
      <selection pane="bottomRight" activeCell="A58" sqref="A58"/>
    </sheetView>
  </sheetViews>
  <sheetFormatPr defaultRowHeight="13.2" x14ac:dyDescent="0.25"/>
  <cols>
    <col min="1" max="1" width="17.109375" style="74" customWidth="1"/>
    <col min="2" max="2" width="11.6640625" style="43" bestFit="1" customWidth="1"/>
    <col min="3" max="3" width="12.88671875" style="43" bestFit="1" customWidth="1"/>
    <col min="4" max="4" width="10.44140625" style="42" bestFit="1" customWidth="1"/>
    <col min="5" max="5" width="9.6640625" style="42" customWidth="1"/>
    <col min="6" max="6" width="8.44140625" style="42" bestFit="1" customWidth="1"/>
    <col min="7" max="9" width="7.44140625" style="42" bestFit="1" customWidth="1"/>
    <col min="10" max="10" width="7.44140625" style="42" customWidth="1"/>
    <col min="11" max="12" width="11.44140625" style="42" bestFit="1" customWidth="1"/>
    <col min="13" max="13" width="13.5546875" style="42" customWidth="1"/>
    <col min="14" max="14" width="6.88671875" style="42" bestFit="1" customWidth="1"/>
    <col min="15" max="15" width="9.109375" style="42" bestFit="1" customWidth="1"/>
    <col min="16" max="16" width="13.33203125" style="42" bestFit="1" customWidth="1"/>
    <col min="17" max="17" width="13.109375" style="42" customWidth="1"/>
    <col min="18" max="18" width="11.44140625" style="42" bestFit="1" customWidth="1"/>
    <col min="19" max="19" width="8" style="42" bestFit="1" customWidth="1"/>
    <col min="20" max="20" width="11.88671875" style="42" customWidth="1"/>
    <col min="21" max="21" width="7.88671875" style="42" bestFit="1" customWidth="1"/>
    <col min="22" max="22" width="8" style="42" bestFit="1" customWidth="1"/>
    <col min="23" max="23" width="12.44140625" style="42" customWidth="1"/>
    <col min="24" max="24" width="7.88671875" style="42" bestFit="1" customWidth="1"/>
    <col min="25" max="25" width="7" style="42" bestFit="1" customWidth="1"/>
    <col min="26" max="26" width="12" style="42" customWidth="1"/>
    <col min="27" max="27" width="9.6640625" style="42" customWidth="1"/>
    <col min="28" max="28" width="8" style="42" customWidth="1"/>
    <col min="29" max="29" width="9.88671875" style="42" bestFit="1" customWidth="1"/>
    <col min="30" max="30" width="9.5546875" style="42" bestFit="1" customWidth="1"/>
    <col min="31" max="31" width="12.33203125" style="42" customWidth="1"/>
    <col min="32" max="32" width="10.109375" style="42" bestFit="1" customWidth="1"/>
    <col min="33" max="33" width="9.5546875" style="42" bestFit="1" customWidth="1"/>
    <col min="34" max="34" width="11.33203125" style="42" bestFit="1" customWidth="1"/>
    <col min="35" max="35" width="12.33203125" style="42" customWidth="1"/>
    <col min="36" max="36" width="9.6640625" style="42" bestFit="1" customWidth="1"/>
    <col min="37" max="37" width="11.44140625" style="42" customWidth="1"/>
    <col min="38" max="38" width="7.33203125" style="42" bestFit="1" customWidth="1"/>
    <col min="39" max="39" width="12.5546875" style="42" bestFit="1" customWidth="1"/>
    <col min="40" max="40" width="9.6640625" style="42" bestFit="1" customWidth="1"/>
    <col min="41" max="41" width="7.44140625" style="42" bestFit="1" customWidth="1"/>
    <col min="42" max="42" width="8" style="42" bestFit="1" customWidth="1"/>
    <col min="43" max="43" width="11" style="42" bestFit="1" customWidth="1"/>
    <col min="44" max="44" width="12.5546875" style="42" bestFit="1" customWidth="1"/>
    <col min="45" max="45" width="8.6640625" style="42" customWidth="1"/>
    <col min="46" max="46" width="9.6640625" style="42" customWidth="1"/>
    <col min="47" max="47" width="8" style="42" bestFit="1" customWidth="1"/>
    <col min="48" max="48" width="11.5546875" style="42" bestFit="1" customWidth="1"/>
    <col min="49" max="49" width="8" style="42" bestFit="1" customWidth="1"/>
    <col min="50" max="50" width="8.6640625" style="42" customWidth="1"/>
    <col min="51" max="51" width="9.5546875" style="42" customWidth="1"/>
    <col min="52" max="52" width="9.88671875" style="42" bestFit="1" customWidth="1"/>
    <col min="53" max="53" width="12.44140625" style="42" bestFit="1" customWidth="1"/>
    <col min="54" max="54" width="8.33203125" style="42" bestFit="1" customWidth="1"/>
    <col min="55" max="55" width="13" style="42" customWidth="1"/>
    <col min="56" max="56" width="8" style="42" bestFit="1" customWidth="1"/>
    <col min="57" max="57" width="9.109375" style="42"/>
    <col min="58" max="58" width="8.88671875" style="42" bestFit="1" customWidth="1"/>
    <col min="59" max="59" width="11.5546875" style="42" bestFit="1" customWidth="1"/>
    <col min="60" max="60" width="9.6640625" style="42" bestFit="1" customWidth="1"/>
    <col min="61" max="61" width="8.6640625" style="42" bestFit="1" customWidth="1"/>
    <col min="62" max="62" width="11.5546875" style="42" customWidth="1"/>
    <col min="63" max="63" width="11.5546875" style="42" bestFit="1" customWidth="1"/>
    <col min="64" max="64" width="10.5546875" style="42" bestFit="1" customWidth="1"/>
    <col min="65" max="65" width="10.44140625" style="42" bestFit="1" customWidth="1"/>
    <col min="66" max="66" width="8" style="42" bestFit="1" customWidth="1"/>
    <col min="67" max="67" width="12.109375" style="42" customWidth="1"/>
    <col min="68" max="68" width="13.88671875" style="42" bestFit="1" customWidth="1"/>
    <col min="69" max="69" width="10.6640625" style="42" customWidth="1"/>
    <col min="70" max="70" width="8.109375" style="42" bestFit="1" customWidth="1"/>
    <col min="71" max="71" width="9.5546875" style="42" bestFit="1" customWidth="1"/>
    <col min="72" max="73" width="8" style="42" bestFit="1" customWidth="1"/>
    <col min="74" max="74" width="9.5546875" style="42" customWidth="1"/>
    <col min="75" max="75" width="10" style="42" customWidth="1"/>
    <col min="76" max="76" width="12.6640625" style="42" customWidth="1"/>
    <col min="77" max="77" width="15.6640625" style="42" customWidth="1"/>
    <col min="78" max="79" width="10.6640625" style="42" customWidth="1"/>
    <col min="80" max="260" width="9.109375" style="42"/>
    <col min="261" max="261" width="44.5546875" style="42" customWidth="1"/>
    <col min="262" max="262" width="13.33203125" style="42" customWidth="1"/>
    <col min="263" max="263" width="10.109375" style="42" customWidth="1"/>
    <col min="264" max="264" width="13.6640625" style="42" customWidth="1"/>
    <col min="265" max="265" width="10.44140625" style="42" customWidth="1"/>
    <col min="266" max="266" width="9.44140625" style="42" bestFit="1" customWidth="1"/>
    <col min="267" max="267" width="7.44140625" style="42" bestFit="1" customWidth="1"/>
    <col min="268" max="268" width="14.33203125" style="42" bestFit="1" customWidth="1"/>
    <col min="269" max="269" width="12.5546875" style="42" bestFit="1" customWidth="1"/>
    <col min="270" max="270" width="9.44140625" style="42" customWidth="1"/>
    <col min="271" max="271" width="10.44140625" style="42" customWidth="1"/>
    <col min="272" max="272" width="11.109375" style="42" bestFit="1" customWidth="1"/>
    <col min="273" max="273" width="9.88671875" style="42" bestFit="1" customWidth="1"/>
    <col min="274" max="274" width="11.44140625" style="42" bestFit="1" customWidth="1"/>
    <col min="275" max="275" width="10.88671875" style="42" customWidth="1"/>
    <col min="276" max="276" width="8.109375" style="42" customWidth="1"/>
    <col min="277" max="277" width="10.33203125" style="42" customWidth="1"/>
    <col min="278" max="278" width="11" style="42" customWidth="1"/>
    <col min="279" max="279" width="11.6640625" style="42" customWidth="1"/>
    <col min="280" max="280" width="8" style="42" customWidth="1"/>
    <col min="281" max="281" width="8.33203125" style="42" customWidth="1"/>
    <col min="282" max="283" width="13.44140625" style="42" customWidth="1"/>
    <col min="284" max="284" width="13.6640625" style="42" customWidth="1"/>
    <col min="285" max="285" width="13.44140625" style="42" customWidth="1"/>
    <col min="286" max="286" width="11.44140625" style="42" customWidth="1"/>
    <col min="287" max="287" width="10.6640625" style="42" customWidth="1"/>
    <col min="288" max="288" width="11.109375" style="42" customWidth="1"/>
    <col min="289" max="289" width="9.88671875" style="42" customWidth="1"/>
    <col min="290" max="290" width="10.33203125" style="42" customWidth="1"/>
    <col min="291" max="291" width="9.88671875" style="42" customWidth="1"/>
    <col min="292" max="292" width="11.5546875" style="42" customWidth="1"/>
    <col min="293" max="293" width="12.33203125" style="42" customWidth="1"/>
    <col min="294" max="294" width="7.44140625" style="42" customWidth="1"/>
    <col min="295" max="295" width="10" style="42" customWidth="1"/>
    <col min="296" max="296" width="11.44140625" style="42" customWidth="1"/>
    <col min="297" max="297" width="8.5546875" style="42" customWidth="1"/>
    <col min="298" max="298" width="13.109375" style="42" customWidth="1"/>
    <col min="299" max="299" width="7.109375" style="42" customWidth="1"/>
    <col min="300" max="300" width="9" style="42" customWidth="1"/>
    <col min="301" max="301" width="11.33203125" style="42" customWidth="1"/>
    <col min="302" max="303" width="9.109375" style="42"/>
    <col min="304" max="304" width="7.44140625" style="42" customWidth="1"/>
    <col min="305" max="305" width="9.109375" style="42"/>
    <col min="306" max="306" width="13.33203125" style="42" customWidth="1"/>
    <col min="307" max="307" width="15" style="42" customWidth="1"/>
    <col min="308" max="308" width="10.44140625" style="42" customWidth="1"/>
    <col min="309" max="309" width="11.5546875" style="42" customWidth="1"/>
    <col min="310" max="328" width="9.109375" style="42"/>
    <col min="329" max="329" width="7.109375" style="42" customWidth="1"/>
    <col min="330" max="330" width="5.6640625" style="42" customWidth="1"/>
    <col min="331" max="331" width="5.44140625" style="42" customWidth="1"/>
    <col min="332" max="516" width="9.109375" style="42"/>
    <col min="517" max="517" width="44.5546875" style="42" customWidth="1"/>
    <col min="518" max="518" width="13.33203125" style="42" customWidth="1"/>
    <col min="519" max="519" width="10.109375" style="42" customWidth="1"/>
    <col min="520" max="520" width="13.6640625" style="42" customWidth="1"/>
    <col min="521" max="521" width="10.44140625" style="42" customWidth="1"/>
    <col min="522" max="522" width="9.44140625" style="42" bestFit="1" customWidth="1"/>
    <col min="523" max="523" width="7.44140625" style="42" bestFit="1" customWidth="1"/>
    <col min="524" max="524" width="14.33203125" style="42" bestFit="1" customWidth="1"/>
    <col min="525" max="525" width="12.5546875" style="42" bestFit="1" customWidth="1"/>
    <col min="526" max="526" width="9.44140625" style="42" customWidth="1"/>
    <col min="527" max="527" width="10.44140625" style="42" customWidth="1"/>
    <col min="528" max="528" width="11.109375" style="42" bestFit="1" customWidth="1"/>
    <col min="529" max="529" width="9.88671875" style="42" bestFit="1" customWidth="1"/>
    <col min="530" max="530" width="11.44140625" style="42" bestFit="1" customWidth="1"/>
    <col min="531" max="531" width="10.88671875" style="42" customWidth="1"/>
    <col min="532" max="532" width="8.109375" style="42" customWidth="1"/>
    <col min="533" max="533" width="10.33203125" style="42" customWidth="1"/>
    <col min="534" max="534" width="11" style="42" customWidth="1"/>
    <col min="535" max="535" width="11.6640625" style="42" customWidth="1"/>
    <col min="536" max="536" width="8" style="42" customWidth="1"/>
    <col min="537" max="537" width="8.33203125" style="42" customWidth="1"/>
    <col min="538" max="539" width="13.44140625" style="42" customWidth="1"/>
    <col min="540" max="540" width="13.6640625" style="42" customWidth="1"/>
    <col min="541" max="541" width="13.44140625" style="42" customWidth="1"/>
    <col min="542" max="542" width="11.44140625" style="42" customWidth="1"/>
    <col min="543" max="543" width="10.6640625" style="42" customWidth="1"/>
    <col min="544" max="544" width="11.109375" style="42" customWidth="1"/>
    <col min="545" max="545" width="9.88671875" style="42" customWidth="1"/>
    <col min="546" max="546" width="10.33203125" style="42" customWidth="1"/>
    <col min="547" max="547" width="9.88671875" style="42" customWidth="1"/>
    <col min="548" max="548" width="11.5546875" style="42" customWidth="1"/>
    <col min="549" max="549" width="12.33203125" style="42" customWidth="1"/>
    <col min="550" max="550" width="7.44140625" style="42" customWidth="1"/>
    <col min="551" max="551" width="10" style="42" customWidth="1"/>
    <col min="552" max="552" width="11.44140625" style="42" customWidth="1"/>
    <col min="553" max="553" width="8.5546875" style="42" customWidth="1"/>
    <col min="554" max="554" width="13.109375" style="42" customWidth="1"/>
    <col min="555" max="555" width="7.109375" style="42" customWidth="1"/>
    <col min="556" max="556" width="9" style="42" customWidth="1"/>
    <col min="557" max="557" width="11.33203125" style="42" customWidth="1"/>
    <col min="558" max="559" width="9.109375" style="42"/>
    <col min="560" max="560" width="7.44140625" style="42" customWidth="1"/>
    <col min="561" max="561" width="9.109375" style="42"/>
    <col min="562" max="562" width="13.33203125" style="42" customWidth="1"/>
    <col min="563" max="563" width="15" style="42" customWidth="1"/>
    <col min="564" max="564" width="10.44140625" style="42" customWidth="1"/>
    <col min="565" max="565" width="11.5546875" style="42" customWidth="1"/>
    <col min="566" max="584" width="9.109375" style="42"/>
    <col min="585" max="585" width="7.109375" style="42" customWidth="1"/>
    <col min="586" max="586" width="5.6640625" style="42" customWidth="1"/>
    <col min="587" max="587" width="5.44140625" style="42" customWidth="1"/>
    <col min="588" max="772" width="9.109375" style="42"/>
    <col min="773" max="773" width="44.5546875" style="42" customWidth="1"/>
    <col min="774" max="774" width="13.33203125" style="42" customWidth="1"/>
    <col min="775" max="775" width="10.109375" style="42" customWidth="1"/>
    <col min="776" max="776" width="13.6640625" style="42" customWidth="1"/>
    <col min="777" max="777" width="10.44140625" style="42" customWidth="1"/>
    <col min="778" max="778" width="9.44140625" style="42" bestFit="1" customWidth="1"/>
    <col min="779" max="779" width="7.44140625" style="42" bestFit="1" customWidth="1"/>
    <col min="780" max="780" width="14.33203125" style="42" bestFit="1" customWidth="1"/>
    <col min="781" max="781" width="12.5546875" style="42" bestFit="1" customWidth="1"/>
    <col min="782" max="782" width="9.44140625" style="42" customWidth="1"/>
    <col min="783" max="783" width="10.44140625" style="42" customWidth="1"/>
    <col min="784" max="784" width="11.109375" style="42" bestFit="1" customWidth="1"/>
    <col min="785" max="785" width="9.88671875" style="42" bestFit="1" customWidth="1"/>
    <col min="786" max="786" width="11.44140625" style="42" bestFit="1" customWidth="1"/>
    <col min="787" max="787" width="10.88671875" style="42" customWidth="1"/>
    <col min="788" max="788" width="8.109375" style="42" customWidth="1"/>
    <col min="789" max="789" width="10.33203125" style="42" customWidth="1"/>
    <col min="790" max="790" width="11" style="42" customWidth="1"/>
    <col min="791" max="791" width="11.6640625" style="42" customWidth="1"/>
    <col min="792" max="792" width="8" style="42" customWidth="1"/>
    <col min="793" max="793" width="8.33203125" style="42" customWidth="1"/>
    <col min="794" max="795" width="13.44140625" style="42" customWidth="1"/>
    <col min="796" max="796" width="13.6640625" style="42" customWidth="1"/>
    <col min="797" max="797" width="13.44140625" style="42" customWidth="1"/>
    <col min="798" max="798" width="11.44140625" style="42" customWidth="1"/>
    <col min="799" max="799" width="10.6640625" style="42" customWidth="1"/>
    <col min="800" max="800" width="11.109375" style="42" customWidth="1"/>
    <col min="801" max="801" width="9.88671875" style="42" customWidth="1"/>
    <col min="802" max="802" width="10.33203125" style="42" customWidth="1"/>
    <col min="803" max="803" width="9.88671875" style="42" customWidth="1"/>
    <col min="804" max="804" width="11.5546875" style="42" customWidth="1"/>
    <col min="805" max="805" width="12.33203125" style="42" customWidth="1"/>
    <col min="806" max="806" width="7.44140625" style="42" customWidth="1"/>
    <col min="807" max="807" width="10" style="42" customWidth="1"/>
    <col min="808" max="808" width="11.44140625" style="42" customWidth="1"/>
    <col min="809" max="809" width="8.5546875" style="42" customWidth="1"/>
    <col min="810" max="810" width="13.109375" style="42" customWidth="1"/>
    <col min="811" max="811" width="7.109375" style="42" customWidth="1"/>
    <col min="812" max="812" width="9" style="42" customWidth="1"/>
    <col min="813" max="813" width="11.33203125" style="42" customWidth="1"/>
    <col min="814" max="815" width="9.109375" style="42"/>
    <col min="816" max="816" width="7.44140625" style="42" customWidth="1"/>
    <col min="817" max="817" width="9.109375" style="42"/>
    <col min="818" max="818" width="13.33203125" style="42" customWidth="1"/>
    <col min="819" max="819" width="15" style="42" customWidth="1"/>
    <col min="820" max="820" width="10.44140625" style="42" customWidth="1"/>
    <col min="821" max="821" width="11.5546875" style="42" customWidth="1"/>
    <col min="822" max="840" width="9.109375" style="42"/>
    <col min="841" max="841" width="7.109375" style="42" customWidth="1"/>
    <col min="842" max="842" width="5.6640625" style="42" customWidth="1"/>
    <col min="843" max="843" width="5.44140625" style="42" customWidth="1"/>
    <col min="844" max="1028" width="9.109375" style="42"/>
    <col min="1029" max="1029" width="44.5546875" style="42" customWidth="1"/>
    <col min="1030" max="1030" width="13.33203125" style="42" customWidth="1"/>
    <col min="1031" max="1031" width="10.109375" style="42" customWidth="1"/>
    <col min="1032" max="1032" width="13.6640625" style="42" customWidth="1"/>
    <col min="1033" max="1033" width="10.44140625" style="42" customWidth="1"/>
    <col min="1034" max="1034" width="9.44140625" style="42" bestFit="1" customWidth="1"/>
    <col min="1035" max="1035" width="7.44140625" style="42" bestFit="1" customWidth="1"/>
    <col min="1036" max="1036" width="14.33203125" style="42" bestFit="1" customWidth="1"/>
    <col min="1037" max="1037" width="12.5546875" style="42" bestFit="1" customWidth="1"/>
    <col min="1038" max="1038" width="9.44140625" style="42" customWidth="1"/>
    <col min="1039" max="1039" width="10.44140625" style="42" customWidth="1"/>
    <col min="1040" max="1040" width="11.109375" style="42" bestFit="1" customWidth="1"/>
    <col min="1041" max="1041" width="9.88671875" style="42" bestFit="1" customWidth="1"/>
    <col min="1042" max="1042" width="11.44140625" style="42" bestFit="1" customWidth="1"/>
    <col min="1043" max="1043" width="10.88671875" style="42" customWidth="1"/>
    <col min="1044" max="1044" width="8.109375" style="42" customWidth="1"/>
    <col min="1045" max="1045" width="10.33203125" style="42" customWidth="1"/>
    <col min="1046" max="1046" width="11" style="42" customWidth="1"/>
    <col min="1047" max="1047" width="11.6640625" style="42" customWidth="1"/>
    <col min="1048" max="1048" width="8" style="42" customWidth="1"/>
    <col min="1049" max="1049" width="8.33203125" style="42" customWidth="1"/>
    <col min="1050" max="1051" width="13.44140625" style="42" customWidth="1"/>
    <col min="1052" max="1052" width="13.6640625" style="42" customWidth="1"/>
    <col min="1053" max="1053" width="13.44140625" style="42" customWidth="1"/>
    <col min="1054" max="1054" width="11.44140625" style="42" customWidth="1"/>
    <col min="1055" max="1055" width="10.6640625" style="42" customWidth="1"/>
    <col min="1056" max="1056" width="11.109375" style="42" customWidth="1"/>
    <col min="1057" max="1057" width="9.88671875" style="42" customWidth="1"/>
    <col min="1058" max="1058" width="10.33203125" style="42" customWidth="1"/>
    <col min="1059" max="1059" width="9.88671875" style="42" customWidth="1"/>
    <col min="1060" max="1060" width="11.5546875" style="42" customWidth="1"/>
    <col min="1061" max="1061" width="12.33203125" style="42" customWidth="1"/>
    <col min="1062" max="1062" width="7.44140625" style="42" customWidth="1"/>
    <col min="1063" max="1063" width="10" style="42" customWidth="1"/>
    <col min="1064" max="1064" width="11.44140625" style="42" customWidth="1"/>
    <col min="1065" max="1065" width="8.5546875" style="42" customWidth="1"/>
    <col min="1066" max="1066" width="13.109375" style="42" customWidth="1"/>
    <col min="1067" max="1067" width="7.109375" style="42" customWidth="1"/>
    <col min="1068" max="1068" width="9" style="42" customWidth="1"/>
    <col min="1069" max="1069" width="11.33203125" style="42" customWidth="1"/>
    <col min="1070" max="1071" width="9.109375" style="42"/>
    <col min="1072" max="1072" width="7.44140625" style="42" customWidth="1"/>
    <col min="1073" max="1073" width="9.109375" style="42"/>
    <col min="1074" max="1074" width="13.33203125" style="42" customWidth="1"/>
    <col min="1075" max="1075" width="15" style="42" customWidth="1"/>
    <col min="1076" max="1076" width="10.44140625" style="42" customWidth="1"/>
    <col min="1077" max="1077" width="11.5546875" style="42" customWidth="1"/>
    <col min="1078" max="1096" width="9.109375" style="42"/>
    <col min="1097" max="1097" width="7.109375" style="42" customWidth="1"/>
    <col min="1098" max="1098" width="5.6640625" style="42" customWidth="1"/>
    <col min="1099" max="1099" width="5.44140625" style="42" customWidth="1"/>
    <col min="1100" max="1284" width="9.109375" style="42"/>
    <col min="1285" max="1285" width="44.5546875" style="42" customWidth="1"/>
    <col min="1286" max="1286" width="13.33203125" style="42" customWidth="1"/>
    <col min="1287" max="1287" width="10.109375" style="42" customWidth="1"/>
    <col min="1288" max="1288" width="13.6640625" style="42" customWidth="1"/>
    <col min="1289" max="1289" width="10.44140625" style="42" customWidth="1"/>
    <col min="1290" max="1290" width="9.44140625" style="42" bestFit="1" customWidth="1"/>
    <col min="1291" max="1291" width="7.44140625" style="42" bestFit="1" customWidth="1"/>
    <col min="1292" max="1292" width="14.33203125" style="42" bestFit="1" customWidth="1"/>
    <col min="1293" max="1293" width="12.5546875" style="42" bestFit="1" customWidth="1"/>
    <col min="1294" max="1294" width="9.44140625" style="42" customWidth="1"/>
    <col min="1295" max="1295" width="10.44140625" style="42" customWidth="1"/>
    <col min="1296" max="1296" width="11.109375" style="42" bestFit="1" customWidth="1"/>
    <col min="1297" max="1297" width="9.88671875" style="42" bestFit="1" customWidth="1"/>
    <col min="1298" max="1298" width="11.44140625" style="42" bestFit="1" customWidth="1"/>
    <col min="1299" max="1299" width="10.88671875" style="42" customWidth="1"/>
    <col min="1300" max="1300" width="8.109375" style="42" customWidth="1"/>
    <col min="1301" max="1301" width="10.33203125" style="42" customWidth="1"/>
    <col min="1302" max="1302" width="11" style="42" customWidth="1"/>
    <col min="1303" max="1303" width="11.6640625" style="42" customWidth="1"/>
    <col min="1304" max="1304" width="8" style="42" customWidth="1"/>
    <col min="1305" max="1305" width="8.33203125" style="42" customWidth="1"/>
    <col min="1306" max="1307" width="13.44140625" style="42" customWidth="1"/>
    <col min="1308" max="1308" width="13.6640625" style="42" customWidth="1"/>
    <col min="1309" max="1309" width="13.44140625" style="42" customWidth="1"/>
    <col min="1310" max="1310" width="11.44140625" style="42" customWidth="1"/>
    <col min="1311" max="1311" width="10.6640625" style="42" customWidth="1"/>
    <col min="1312" max="1312" width="11.109375" style="42" customWidth="1"/>
    <col min="1313" max="1313" width="9.88671875" style="42" customWidth="1"/>
    <col min="1314" max="1314" width="10.33203125" style="42" customWidth="1"/>
    <col min="1315" max="1315" width="9.88671875" style="42" customWidth="1"/>
    <col min="1316" max="1316" width="11.5546875" style="42" customWidth="1"/>
    <col min="1317" max="1317" width="12.33203125" style="42" customWidth="1"/>
    <col min="1318" max="1318" width="7.44140625" style="42" customWidth="1"/>
    <col min="1319" max="1319" width="10" style="42" customWidth="1"/>
    <col min="1320" max="1320" width="11.44140625" style="42" customWidth="1"/>
    <col min="1321" max="1321" width="8.5546875" style="42" customWidth="1"/>
    <col min="1322" max="1322" width="13.109375" style="42" customWidth="1"/>
    <col min="1323" max="1323" width="7.109375" style="42" customWidth="1"/>
    <col min="1324" max="1324" width="9" style="42" customWidth="1"/>
    <col min="1325" max="1325" width="11.33203125" style="42" customWidth="1"/>
    <col min="1326" max="1327" width="9.109375" style="42"/>
    <col min="1328" max="1328" width="7.44140625" style="42" customWidth="1"/>
    <col min="1329" max="1329" width="9.109375" style="42"/>
    <col min="1330" max="1330" width="13.33203125" style="42" customWidth="1"/>
    <col min="1331" max="1331" width="15" style="42" customWidth="1"/>
    <col min="1332" max="1332" width="10.44140625" style="42" customWidth="1"/>
    <col min="1333" max="1333" width="11.5546875" style="42" customWidth="1"/>
    <col min="1334" max="1352" width="9.109375" style="42"/>
    <col min="1353" max="1353" width="7.109375" style="42" customWidth="1"/>
    <col min="1354" max="1354" width="5.6640625" style="42" customWidth="1"/>
    <col min="1355" max="1355" width="5.44140625" style="42" customWidth="1"/>
    <col min="1356" max="1540" width="9.109375" style="42"/>
    <col min="1541" max="1541" width="44.5546875" style="42" customWidth="1"/>
    <col min="1542" max="1542" width="13.33203125" style="42" customWidth="1"/>
    <col min="1543" max="1543" width="10.109375" style="42" customWidth="1"/>
    <col min="1544" max="1544" width="13.6640625" style="42" customWidth="1"/>
    <col min="1545" max="1545" width="10.44140625" style="42" customWidth="1"/>
    <col min="1546" max="1546" width="9.44140625" style="42" bestFit="1" customWidth="1"/>
    <col min="1547" max="1547" width="7.44140625" style="42" bestFit="1" customWidth="1"/>
    <col min="1548" max="1548" width="14.33203125" style="42" bestFit="1" customWidth="1"/>
    <col min="1549" max="1549" width="12.5546875" style="42" bestFit="1" customWidth="1"/>
    <col min="1550" max="1550" width="9.44140625" style="42" customWidth="1"/>
    <col min="1551" max="1551" width="10.44140625" style="42" customWidth="1"/>
    <col min="1552" max="1552" width="11.109375" style="42" bestFit="1" customWidth="1"/>
    <col min="1553" max="1553" width="9.88671875" style="42" bestFit="1" customWidth="1"/>
    <col min="1554" max="1554" width="11.44140625" style="42" bestFit="1" customWidth="1"/>
    <col min="1555" max="1555" width="10.88671875" style="42" customWidth="1"/>
    <col min="1556" max="1556" width="8.109375" style="42" customWidth="1"/>
    <col min="1557" max="1557" width="10.33203125" style="42" customWidth="1"/>
    <col min="1558" max="1558" width="11" style="42" customWidth="1"/>
    <col min="1559" max="1559" width="11.6640625" style="42" customWidth="1"/>
    <col min="1560" max="1560" width="8" style="42" customWidth="1"/>
    <col min="1561" max="1561" width="8.33203125" style="42" customWidth="1"/>
    <col min="1562" max="1563" width="13.44140625" style="42" customWidth="1"/>
    <col min="1564" max="1564" width="13.6640625" style="42" customWidth="1"/>
    <col min="1565" max="1565" width="13.44140625" style="42" customWidth="1"/>
    <col min="1566" max="1566" width="11.44140625" style="42" customWidth="1"/>
    <col min="1567" max="1567" width="10.6640625" style="42" customWidth="1"/>
    <col min="1568" max="1568" width="11.109375" style="42" customWidth="1"/>
    <col min="1569" max="1569" width="9.88671875" style="42" customWidth="1"/>
    <col min="1570" max="1570" width="10.33203125" style="42" customWidth="1"/>
    <col min="1571" max="1571" width="9.88671875" style="42" customWidth="1"/>
    <col min="1572" max="1572" width="11.5546875" style="42" customWidth="1"/>
    <col min="1573" max="1573" width="12.33203125" style="42" customWidth="1"/>
    <col min="1574" max="1574" width="7.44140625" style="42" customWidth="1"/>
    <col min="1575" max="1575" width="10" style="42" customWidth="1"/>
    <col min="1576" max="1576" width="11.44140625" style="42" customWidth="1"/>
    <col min="1577" max="1577" width="8.5546875" style="42" customWidth="1"/>
    <col min="1578" max="1578" width="13.109375" style="42" customWidth="1"/>
    <col min="1579" max="1579" width="7.109375" style="42" customWidth="1"/>
    <col min="1580" max="1580" width="9" style="42" customWidth="1"/>
    <col min="1581" max="1581" width="11.33203125" style="42" customWidth="1"/>
    <col min="1582" max="1583" width="9.109375" style="42"/>
    <col min="1584" max="1584" width="7.44140625" style="42" customWidth="1"/>
    <col min="1585" max="1585" width="9.109375" style="42"/>
    <col min="1586" max="1586" width="13.33203125" style="42" customWidth="1"/>
    <col min="1587" max="1587" width="15" style="42" customWidth="1"/>
    <col min="1588" max="1588" width="10.44140625" style="42" customWidth="1"/>
    <col min="1589" max="1589" width="11.5546875" style="42" customWidth="1"/>
    <col min="1590" max="1608" width="9.109375" style="42"/>
    <col min="1609" max="1609" width="7.109375" style="42" customWidth="1"/>
    <col min="1610" max="1610" width="5.6640625" style="42" customWidth="1"/>
    <col min="1611" max="1611" width="5.44140625" style="42" customWidth="1"/>
    <col min="1612" max="1796" width="9.109375" style="42"/>
    <col min="1797" max="1797" width="44.5546875" style="42" customWidth="1"/>
    <col min="1798" max="1798" width="13.33203125" style="42" customWidth="1"/>
    <col min="1799" max="1799" width="10.109375" style="42" customWidth="1"/>
    <col min="1800" max="1800" width="13.6640625" style="42" customWidth="1"/>
    <col min="1801" max="1801" width="10.44140625" style="42" customWidth="1"/>
    <col min="1802" max="1802" width="9.44140625" style="42" bestFit="1" customWidth="1"/>
    <col min="1803" max="1803" width="7.44140625" style="42" bestFit="1" customWidth="1"/>
    <col min="1804" max="1804" width="14.33203125" style="42" bestFit="1" customWidth="1"/>
    <col min="1805" max="1805" width="12.5546875" style="42" bestFit="1" customWidth="1"/>
    <col min="1806" max="1806" width="9.44140625" style="42" customWidth="1"/>
    <col min="1807" max="1807" width="10.44140625" style="42" customWidth="1"/>
    <col min="1808" max="1808" width="11.109375" style="42" bestFit="1" customWidth="1"/>
    <col min="1809" max="1809" width="9.88671875" style="42" bestFit="1" customWidth="1"/>
    <col min="1810" max="1810" width="11.44140625" style="42" bestFit="1" customWidth="1"/>
    <col min="1811" max="1811" width="10.88671875" style="42" customWidth="1"/>
    <col min="1812" max="1812" width="8.109375" style="42" customWidth="1"/>
    <col min="1813" max="1813" width="10.33203125" style="42" customWidth="1"/>
    <col min="1814" max="1814" width="11" style="42" customWidth="1"/>
    <col min="1815" max="1815" width="11.6640625" style="42" customWidth="1"/>
    <col min="1816" max="1816" width="8" style="42" customWidth="1"/>
    <col min="1817" max="1817" width="8.33203125" style="42" customWidth="1"/>
    <col min="1818" max="1819" width="13.44140625" style="42" customWidth="1"/>
    <col min="1820" max="1820" width="13.6640625" style="42" customWidth="1"/>
    <col min="1821" max="1821" width="13.44140625" style="42" customWidth="1"/>
    <col min="1822" max="1822" width="11.44140625" style="42" customWidth="1"/>
    <col min="1823" max="1823" width="10.6640625" style="42" customWidth="1"/>
    <col min="1824" max="1824" width="11.109375" style="42" customWidth="1"/>
    <col min="1825" max="1825" width="9.88671875" style="42" customWidth="1"/>
    <col min="1826" max="1826" width="10.33203125" style="42" customWidth="1"/>
    <col min="1827" max="1827" width="9.88671875" style="42" customWidth="1"/>
    <col min="1828" max="1828" width="11.5546875" style="42" customWidth="1"/>
    <col min="1829" max="1829" width="12.33203125" style="42" customWidth="1"/>
    <col min="1830" max="1830" width="7.44140625" style="42" customWidth="1"/>
    <col min="1831" max="1831" width="10" style="42" customWidth="1"/>
    <col min="1832" max="1832" width="11.44140625" style="42" customWidth="1"/>
    <col min="1833" max="1833" width="8.5546875" style="42" customWidth="1"/>
    <col min="1834" max="1834" width="13.109375" style="42" customWidth="1"/>
    <col min="1835" max="1835" width="7.109375" style="42" customWidth="1"/>
    <col min="1836" max="1836" width="9" style="42" customWidth="1"/>
    <col min="1837" max="1837" width="11.33203125" style="42" customWidth="1"/>
    <col min="1838" max="1839" width="9.109375" style="42"/>
    <col min="1840" max="1840" width="7.44140625" style="42" customWidth="1"/>
    <col min="1841" max="1841" width="9.109375" style="42"/>
    <col min="1842" max="1842" width="13.33203125" style="42" customWidth="1"/>
    <col min="1843" max="1843" width="15" style="42" customWidth="1"/>
    <col min="1844" max="1844" width="10.44140625" style="42" customWidth="1"/>
    <col min="1845" max="1845" width="11.5546875" style="42" customWidth="1"/>
    <col min="1846" max="1864" width="9.109375" style="42"/>
    <col min="1865" max="1865" width="7.109375" style="42" customWidth="1"/>
    <col min="1866" max="1866" width="5.6640625" style="42" customWidth="1"/>
    <col min="1867" max="1867" width="5.44140625" style="42" customWidth="1"/>
    <col min="1868" max="2052" width="9.109375" style="42"/>
    <col min="2053" max="2053" width="44.5546875" style="42" customWidth="1"/>
    <col min="2054" max="2054" width="13.33203125" style="42" customWidth="1"/>
    <col min="2055" max="2055" width="10.109375" style="42" customWidth="1"/>
    <col min="2056" max="2056" width="13.6640625" style="42" customWidth="1"/>
    <col min="2057" max="2057" width="10.44140625" style="42" customWidth="1"/>
    <col min="2058" max="2058" width="9.44140625" style="42" bestFit="1" customWidth="1"/>
    <col min="2059" max="2059" width="7.44140625" style="42" bestFit="1" customWidth="1"/>
    <col min="2060" max="2060" width="14.33203125" style="42" bestFit="1" customWidth="1"/>
    <col min="2061" max="2061" width="12.5546875" style="42" bestFit="1" customWidth="1"/>
    <col min="2062" max="2062" width="9.44140625" style="42" customWidth="1"/>
    <col min="2063" max="2063" width="10.44140625" style="42" customWidth="1"/>
    <col min="2064" max="2064" width="11.109375" style="42" bestFit="1" customWidth="1"/>
    <col min="2065" max="2065" width="9.88671875" style="42" bestFit="1" customWidth="1"/>
    <col min="2066" max="2066" width="11.44140625" style="42" bestFit="1" customWidth="1"/>
    <col min="2067" max="2067" width="10.88671875" style="42" customWidth="1"/>
    <col min="2068" max="2068" width="8.109375" style="42" customWidth="1"/>
    <col min="2069" max="2069" width="10.33203125" style="42" customWidth="1"/>
    <col min="2070" max="2070" width="11" style="42" customWidth="1"/>
    <col min="2071" max="2071" width="11.6640625" style="42" customWidth="1"/>
    <col min="2072" max="2072" width="8" style="42" customWidth="1"/>
    <col min="2073" max="2073" width="8.33203125" style="42" customWidth="1"/>
    <col min="2074" max="2075" width="13.44140625" style="42" customWidth="1"/>
    <col min="2076" max="2076" width="13.6640625" style="42" customWidth="1"/>
    <col min="2077" max="2077" width="13.44140625" style="42" customWidth="1"/>
    <col min="2078" max="2078" width="11.44140625" style="42" customWidth="1"/>
    <col min="2079" max="2079" width="10.6640625" style="42" customWidth="1"/>
    <col min="2080" max="2080" width="11.109375" style="42" customWidth="1"/>
    <col min="2081" max="2081" width="9.88671875" style="42" customWidth="1"/>
    <col min="2082" max="2082" width="10.33203125" style="42" customWidth="1"/>
    <col min="2083" max="2083" width="9.88671875" style="42" customWidth="1"/>
    <col min="2084" max="2084" width="11.5546875" style="42" customWidth="1"/>
    <col min="2085" max="2085" width="12.33203125" style="42" customWidth="1"/>
    <col min="2086" max="2086" width="7.44140625" style="42" customWidth="1"/>
    <col min="2087" max="2087" width="10" style="42" customWidth="1"/>
    <col min="2088" max="2088" width="11.44140625" style="42" customWidth="1"/>
    <col min="2089" max="2089" width="8.5546875" style="42" customWidth="1"/>
    <col min="2090" max="2090" width="13.109375" style="42" customWidth="1"/>
    <col min="2091" max="2091" width="7.109375" style="42" customWidth="1"/>
    <col min="2092" max="2092" width="9" style="42" customWidth="1"/>
    <col min="2093" max="2093" width="11.33203125" style="42" customWidth="1"/>
    <col min="2094" max="2095" width="9.109375" style="42"/>
    <col min="2096" max="2096" width="7.44140625" style="42" customWidth="1"/>
    <col min="2097" max="2097" width="9.109375" style="42"/>
    <col min="2098" max="2098" width="13.33203125" style="42" customWidth="1"/>
    <col min="2099" max="2099" width="15" style="42" customWidth="1"/>
    <col min="2100" max="2100" width="10.44140625" style="42" customWidth="1"/>
    <col min="2101" max="2101" width="11.5546875" style="42" customWidth="1"/>
    <col min="2102" max="2120" width="9.109375" style="42"/>
    <col min="2121" max="2121" width="7.109375" style="42" customWidth="1"/>
    <col min="2122" max="2122" width="5.6640625" style="42" customWidth="1"/>
    <col min="2123" max="2123" width="5.44140625" style="42" customWidth="1"/>
    <col min="2124" max="2308" width="9.109375" style="42"/>
    <col min="2309" max="2309" width="44.5546875" style="42" customWidth="1"/>
    <col min="2310" max="2310" width="13.33203125" style="42" customWidth="1"/>
    <col min="2311" max="2311" width="10.109375" style="42" customWidth="1"/>
    <col min="2312" max="2312" width="13.6640625" style="42" customWidth="1"/>
    <col min="2313" max="2313" width="10.44140625" style="42" customWidth="1"/>
    <col min="2314" max="2314" width="9.44140625" style="42" bestFit="1" customWidth="1"/>
    <col min="2315" max="2315" width="7.44140625" style="42" bestFit="1" customWidth="1"/>
    <col min="2316" max="2316" width="14.33203125" style="42" bestFit="1" customWidth="1"/>
    <col min="2317" max="2317" width="12.5546875" style="42" bestFit="1" customWidth="1"/>
    <col min="2318" max="2318" width="9.44140625" style="42" customWidth="1"/>
    <col min="2319" max="2319" width="10.44140625" style="42" customWidth="1"/>
    <col min="2320" max="2320" width="11.109375" style="42" bestFit="1" customWidth="1"/>
    <col min="2321" max="2321" width="9.88671875" style="42" bestFit="1" customWidth="1"/>
    <col min="2322" max="2322" width="11.44140625" style="42" bestFit="1" customWidth="1"/>
    <col min="2323" max="2323" width="10.88671875" style="42" customWidth="1"/>
    <col min="2324" max="2324" width="8.109375" style="42" customWidth="1"/>
    <col min="2325" max="2325" width="10.33203125" style="42" customWidth="1"/>
    <col min="2326" max="2326" width="11" style="42" customWidth="1"/>
    <col min="2327" max="2327" width="11.6640625" style="42" customWidth="1"/>
    <col min="2328" max="2328" width="8" style="42" customWidth="1"/>
    <col min="2329" max="2329" width="8.33203125" style="42" customWidth="1"/>
    <col min="2330" max="2331" width="13.44140625" style="42" customWidth="1"/>
    <col min="2332" max="2332" width="13.6640625" style="42" customWidth="1"/>
    <col min="2333" max="2333" width="13.44140625" style="42" customWidth="1"/>
    <col min="2334" max="2334" width="11.44140625" style="42" customWidth="1"/>
    <col min="2335" max="2335" width="10.6640625" style="42" customWidth="1"/>
    <col min="2336" max="2336" width="11.109375" style="42" customWidth="1"/>
    <col min="2337" max="2337" width="9.88671875" style="42" customWidth="1"/>
    <col min="2338" max="2338" width="10.33203125" style="42" customWidth="1"/>
    <col min="2339" max="2339" width="9.88671875" style="42" customWidth="1"/>
    <col min="2340" max="2340" width="11.5546875" style="42" customWidth="1"/>
    <col min="2341" max="2341" width="12.33203125" style="42" customWidth="1"/>
    <col min="2342" max="2342" width="7.44140625" style="42" customWidth="1"/>
    <col min="2343" max="2343" width="10" style="42" customWidth="1"/>
    <col min="2344" max="2344" width="11.44140625" style="42" customWidth="1"/>
    <col min="2345" max="2345" width="8.5546875" style="42" customWidth="1"/>
    <col min="2346" max="2346" width="13.109375" style="42" customWidth="1"/>
    <col min="2347" max="2347" width="7.109375" style="42" customWidth="1"/>
    <col min="2348" max="2348" width="9" style="42" customWidth="1"/>
    <col min="2349" max="2349" width="11.33203125" style="42" customWidth="1"/>
    <col min="2350" max="2351" width="9.109375" style="42"/>
    <col min="2352" max="2352" width="7.44140625" style="42" customWidth="1"/>
    <col min="2353" max="2353" width="9.109375" style="42"/>
    <col min="2354" max="2354" width="13.33203125" style="42" customWidth="1"/>
    <col min="2355" max="2355" width="15" style="42" customWidth="1"/>
    <col min="2356" max="2356" width="10.44140625" style="42" customWidth="1"/>
    <col min="2357" max="2357" width="11.5546875" style="42" customWidth="1"/>
    <col min="2358" max="2376" width="9.109375" style="42"/>
    <col min="2377" max="2377" width="7.109375" style="42" customWidth="1"/>
    <col min="2378" max="2378" width="5.6640625" style="42" customWidth="1"/>
    <col min="2379" max="2379" width="5.44140625" style="42" customWidth="1"/>
    <col min="2380" max="2564" width="9.109375" style="42"/>
    <col min="2565" max="2565" width="44.5546875" style="42" customWidth="1"/>
    <col min="2566" max="2566" width="13.33203125" style="42" customWidth="1"/>
    <col min="2567" max="2567" width="10.109375" style="42" customWidth="1"/>
    <col min="2568" max="2568" width="13.6640625" style="42" customWidth="1"/>
    <col min="2569" max="2569" width="10.44140625" style="42" customWidth="1"/>
    <col min="2570" max="2570" width="9.44140625" style="42" bestFit="1" customWidth="1"/>
    <col min="2571" max="2571" width="7.44140625" style="42" bestFit="1" customWidth="1"/>
    <col min="2572" max="2572" width="14.33203125" style="42" bestFit="1" customWidth="1"/>
    <col min="2573" max="2573" width="12.5546875" style="42" bestFit="1" customWidth="1"/>
    <col min="2574" max="2574" width="9.44140625" style="42" customWidth="1"/>
    <col min="2575" max="2575" width="10.44140625" style="42" customWidth="1"/>
    <col min="2576" max="2576" width="11.109375" style="42" bestFit="1" customWidth="1"/>
    <col min="2577" max="2577" width="9.88671875" style="42" bestFit="1" customWidth="1"/>
    <col min="2578" max="2578" width="11.44140625" style="42" bestFit="1" customWidth="1"/>
    <col min="2579" max="2579" width="10.88671875" style="42" customWidth="1"/>
    <col min="2580" max="2580" width="8.109375" style="42" customWidth="1"/>
    <col min="2581" max="2581" width="10.33203125" style="42" customWidth="1"/>
    <col min="2582" max="2582" width="11" style="42" customWidth="1"/>
    <col min="2583" max="2583" width="11.6640625" style="42" customWidth="1"/>
    <col min="2584" max="2584" width="8" style="42" customWidth="1"/>
    <col min="2585" max="2585" width="8.33203125" style="42" customWidth="1"/>
    <col min="2586" max="2587" width="13.44140625" style="42" customWidth="1"/>
    <col min="2588" max="2588" width="13.6640625" style="42" customWidth="1"/>
    <col min="2589" max="2589" width="13.44140625" style="42" customWidth="1"/>
    <col min="2590" max="2590" width="11.44140625" style="42" customWidth="1"/>
    <col min="2591" max="2591" width="10.6640625" style="42" customWidth="1"/>
    <col min="2592" max="2592" width="11.109375" style="42" customWidth="1"/>
    <col min="2593" max="2593" width="9.88671875" style="42" customWidth="1"/>
    <col min="2594" max="2594" width="10.33203125" style="42" customWidth="1"/>
    <col min="2595" max="2595" width="9.88671875" style="42" customWidth="1"/>
    <col min="2596" max="2596" width="11.5546875" style="42" customWidth="1"/>
    <col min="2597" max="2597" width="12.33203125" style="42" customWidth="1"/>
    <col min="2598" max="2598" width="7.44140625" style="42" customWidth="1"/>
    <col min="2599" max="2599" width="10" style="42" customWidth="1"/>
    <col min="2600" max="2600" width="11.44140625" style="42" customWidth="1"/>
    <col min="2601" max="2601" width="8.5546875" style="42" customWidth="1"/>
    <col min="2602" max="2602" width="13.109375" style="42" customWidth="1"/>
    <col min="2603" max="2603" width="7.109375" style="42" customWidth="1"/>
    <col min="2604" max="2604" width="9" style="42" customWidth="1"/>
    <col min="2605" max="2605" width="11.33203125" style="42" customWidth="1"/>
    <col min="2606" max="2607" width="9.109375" style="42"/>
    <col min="2608" max="2608" width="7.44140625" style="42" customWidth="1"/>
    <col min="2609" max="2609" width="9.109375" style="42"/>
    <col min="2610" max="2610" width="13.33203125" style="42" customWidth="1"/>
    <col min="2611" max="2611" width="15" style="42" customWidth="1"/>
    <col min="2612" max="2612" width="10.44140625" style="42" customWidth="1"/>
    <col min="2613" max="2613" width="11.5546875" style="42" customWidth="1"/>
    <col min="2614" max="2632" width="9.109375" style="42"/>
    <col min="2633" max="2633" width="7.109375" style="42" customWidth="1"/>
    <col min="2634" max="2634" width="5.6640625" style="42" customWidth="1"/>
    <col min="2635" max="2635" width="5.44140625" style="42" customWidth="1"/>
    <col min="2636" max="2820" width="9.109375" style="42"/>
    <col min="2821" max="2821" width="44.5546875" style="42" customWidth="1"/>
    <col min="2822" max="2822" width="13.33203125" style="42" customWidth="1"/>
    <col min="2823" max="2823" width="10.109375" style="42" customWidth="1"/>
    <col min="2824" max="2824" width="13.6640625" style="42" customWidth="1"/>
    <col min="2825" max="2825" width="10.44140625" style="42" customWidth="1"/>
    <col min="2826" max="2826" width="9.44140625" style="42" bestFit="1" customWidth="1"/>
    <col min="2827" max="2827" width="7.44140625" style="42" bestFit="1" customWidth="1"/>
    <col min="2828" max="2828" width="14.33203125" style="42" bestFit="1" customWidth="1"/>
    <col min="2829" max="2829" width="12.5546875" style="42" bestFit="1" customWidth="1"/>
    <col min="2830" max="2830" width="9.44140625" style="42" customWidth="1"/>
    <col min="2831" max="2831" width="10.44140625" style="42" customWidth="1"/>
    <col min="2832" max="2832" width="11.109375" style="42" bestFit="1" customWidth="1"/>
    <col min="2833" max="2833" width="9.88671875" style="42" bestFit="1" customWidth="1"/>
    <col min="2834" max="2834" width="11.44140625" style="42" bestFit="1" customWidth="1"/>
    <col min="2835" max="2835" width="10.88671875" style="42" customWidth="1"/>
    <col min="2836" max="2836" width="8.109375" style="42" customWidth="1"/>
    <col min="2837" max="2837" width="10.33203125" style="42" customWidth="1"/>
    <col min="2838" max="2838" width="11" style="42" customWidth="1"/>
    <col min="2839" max="2839" width="11.6640625" style="42" customWidth="1"/>
    <col min="2840" max="2840" width="8" style="42" customWidth="1"/>
    <col min="2841" max="2841" width="8.33203125" style="42" customWidth="1"/>
    <col min="2842" max="2843" width="13.44140625" style="42" customWidth="1"/>
    <col min="2844" max="2844" width="13.6640625" style="42" customWidth="1"/>
    <col min="2845" max="2845" width="13.44140625" style="42" customWidth="1"/>
    <col min="2846" max="2846" width="11.44140625" style="42" customWidth="1"/>
    <col min="2847" max="2847" width="10.6640625" style="42" customWidth="1"/>
    <col min="2848" max="2848" width="11.109375" style="42" customWidth="1"/>
    <col min="2849" max="2849" width="9.88671875" style="42" customWidth="1"/>
    <col min="2850" max="2850" width="10.33203125" style="42" customWidth="1"/>
    <col min="2851" max="2851" width="9.88671875" style="42" customWidth="1"/>
    <col min="2852" max="2852" width="11.5546875" style="42" customWidth="1"/>
    <col min="2853" max="2853" width="12.33203125" style="42" customWidth="1"/>
    <col min="2854" max="2854" width="7.44140625" style="42" customWidth="1"/>
    <col min="2855" max="2855" width="10" style="42" customWidth="1"/>
    <col min="2856" max="2856" width="11.44140625" style="42" customWidth="1"/>
    <col min="2857" max="2857" width="8.5546875" style="42" customWidth="1"/>
    <col min="2858" max="2858" width="13.109375" style="42" customWidth="1"/>
    <col min="2859" max="2859" width="7.109375" style="42" customWidth="1"/>
    <col min="2860" max="2860" width="9" style="42" customWidth="1"/>
    <col min="2861" max="2861" width="11.33203125" style="42" customWidth="1"/>
    <col min="2862" max="2863" width="9.109375" style="42"/>
    <col min="2864" max="2864" width="7.44140625" style="42" customWidth="1"/>
    <col min="2865" max="2865" width="9.109375" style="42"/>
    <col min="2866" max="2866" width="13.33203125" style="42" customWidth="1"/>
    <col min="2867" max="2867" width="15" style="42" customWidth="1"/>
    <col min="2868" max="2868" width="10.44140625" style="42" customWidth="1"/>
    <col min="2869" max="2869" width="11.5546875" style="42" customWidth="1"/>
    <col min="2870" max="2888" width="9.109375" style="42"/>
    <col min="2889" max="2889" width="7.109375" style="42" customWidth="1"/>
    <col min="2890" max="2890" width="5.6640625" style="42" customWidth="1"/>
    <col min="2891" max="2891" width="5.44140625" style="42" customWidth="1"/>
    <col min="2892" max="3076" width="9.109375" style="42"/>
    <col min="3077" max="3077" width="44.5546875" style="42" customWidth="1"/>
    <col min="3078" max="3078" width="13.33203125" style="42" customWidth="1"/>
    <col min="3079" max="3079" width="10.109375" style="42" customWidth="1"/>
    <col min="3080" max="3080" width="13.6640625" style="42" customWidth="1"/>
    <col min="3081" max="3081" width="10.44140625" style="42" customWidth="1"/>
    <col min="3082" max="3082" width="9.44140625" style="42" bestFit="1" customWidth="1"/>
    <col min="3083" max="3083" width="7.44140625" style="42" bestFit="1" customWidth="1"/>
    <col min="3084" max="3084" width="14.33203125" style="42" bestFit="1" customWidth="1"/>
    <col min="3085" max="3085" width="12.5546875" style="42" bestFit="1" customWidth="1"/>
    <col min="3086" max="3086" width="9.44140625" style="42" customWidth="1"/>
    <col min="3087" max="3087" width="10.44140625" style="42" customWidth="1"/>
    <col min="3088" max="3088" width="11.109375" style="42" bestFit="1" customWidth="1"/>
    <col min="3089" max="3089" width="9.88671875" style="42" bestFit="1" customWidth="1"/>
    <col min="3090" max="3090" width="11.44140625" style="42" bestFit="1" customWidth="1"/>
    <col min="3091" max="3091" width="10.88671875" style="42" customWidth="1"/>
    <col min="3092" max="3092" width="8.109375" style="42" customWidth="1"/>
    <col min="3093" max="3093" width="10.33203125" style="42" customWidth="1"/>
    <col min="3094" max="3094" width="11" style="42" customWidth="1"/>
    <col min="3095" max="3095" width="11.6640625" style="42" customWidth="1"/>
    <col min="3096" max="3096" width="8" style="42" customWidth="1"/>
    <col min="3097" max="3097" width="8.33203125" style="42" customWidth="1"/>
    <col min="3098" max="3099" width="13.44140625" style="42" customWidth="1"/>
    <col min="3100" max="3100" width="13.6640625" style="42" customWidth="1"/>
    <col min="3101" max="3101" width="13.44140625" style="42" customWidth="1"/>
    <col min="3102" max="3102" width="11.44140625" style="42" customWidth="1"/>
    <col min="3103" max="3103" width="10.6640625" style="42" customWidth="1"/>
    <col min="3104" max="3104" width="11.109375" style="42" customWidth="1"/>
    <col min="3105" max="3105" width="9.88671875" style="42" customWidth="1"/>
    <col min="3106" max="3106" width="10.33203125" style="42" customWidth="1"/>
    <col min="3107" max="3107" width="9.88671875" style="42" customWidth="1"/>
    <col min="3108" max="3108" width="11.5546875" style="42" customWidth="1"/>
    <col min="3109" max="3109" width="12.33203125" style="42" customWidth="1"/>
    <col min="3110" max="3110" width="7.44140625" style="42" customWidth="1"/>
    <col min="3111" max="3111" width="10" style="42" customWidth="1"/>
    <col min="3112" max="3112" width="11.44140625" style="42" customWidth="1"/>
    <col min="3113" max="3113" width="8.5546875" style="42" customWidth="1"/>
    <col min="3114" max="3114" width="13.109375" style="42" customWidth="1"/>
    <col min="3115" max="3115" width="7.109375" style="42" customWidth="1"/>
    <col min="3116" max="3116" width="9" style="42" customWidth="1"/>
    <col min="3117" max="3117" width="11.33203125" style="42" customWidth="1"/>
    <col min="3118" max="3119" width="9.109375" style="42"/>
    <col min="3120" max="3120" width="7.44140625" style="42" customWidth="1"/>
    <col min="3121" max="3121" width="9.109375" style="42"/>
    <col min="3122" max="3122" width="13.33203125" style="42" customWidth="1"/>
    <col min="3123" max="3123" width="15" style="42" customWidth="1"/>
    <col min="3124" max="3124" width="10.44140625" style="42" customWidth="1"/>
    <col min="3125" max="3125" width="11.5546875" style="42" customWidth="1"/>
    <col min="3126" max="3144" width="9.109375" style="42"/>
    <col min="3145" max="3145" width="7.109375" style="42" customWidth="1"/>
    <col min="3146" max="3146" width="5.6640625" style="42" customWidth="1"/>
    <col min="3147" max="3147" width="5.44140625" style="42" customWidth="1"/>
    <col min="3148" max="3332" width="9.109375" style="42"/>
    <col min="3333" max="3333" width="44.5546875" style="42" customWidth="1"/>
    <col min="3334" max="3334" width="13.33203125" style="42" customWidth="1"/>
    <col min="3335" max="3335" width="10.109375" style="42" customWidth="1"/>
    <col min="3336" max="3336" width="13.6640625" style="42" customWidth="1"/>
    <col min="3337" max="3337" width="10.44140625" style="42" customWidth="1"/>
    <col min="3338" max="3338" width="9.44140625" style="42" bestFit="1" customWidth="1"/>
    <col min="3339" max="3339" width="7.44140625" style="42" bestFit="1" customWidth="1"/>
    <col min="3340" max="3340" width="14.33203125" style="42" bestFit="1" customWidth="1"/>
    <col min="3341" max="3341" width="12.5546875" style="42" bestFit="1" customWidth="1"/>
    <col min="3342" max="3342" width="9.44140625" style="42" customWidth="1"/>
    <col min="3343" max="3343" width="10.44140625" style="42" customWidth="1"/>
    <col min="3344" max="3344" width="11.109375" style="42" bestFit="1" customWidth="1"/>
    <col min="3345" max="3345" width="9.88671875" style="42" bestFit="1" customWidth="1"/>
    <col min="3346" max="3346" width="11.44140625" style="42" bestFit="1" customWidth="1"/>
    <col min="3347" max="3347" width="10.88671875" style="42" customWidth="1"/>
    <col min="3348" max="3348" width="8.109375" style="42" customWidth="1"/>
    <col min="3349" max="3349" width="10.33203125" style="42" customWidth="1"/>
    <col min="3350" max="3350" width="11" style="42" customWidth="1"/>
    <col min="3351" max="3351" width="11.6640625" style="42" customWidth="1"/>
    <col min="3352" max="3352" width="8" style="42" customWidth="1"/>
    <col min="3353" max="3353" width="8.33203125" style="42" customWidth="1"/>
    <col min="3354" max="3355" width="13.44140625" style="42" customWidth="1"/>
    <col min="3356" max="3356" width="13.6640625" style="42" customWidth="1"/>
    <col min="3357" max="3357" width="13.44140625" style="42" customWidth="1"/>
    <col min="3358" max="3358" width="11.44140625" style="42" customWidth="1"/>
    <col min="3359" max="3359" width="10.6640625" style="42" customWidth="1"/>
    <col min="3360" max="3360" width="11.109375" style="42" customWidth="1"/>
    <col min="3361" max="3361" width="9.88671875" style="42" customWidth="1"/>
    <col min="3362" max="3362" width="10.33203125" style="42" customWidth="1"/>
    <col min="3363" max="3363" width="9.88671875" style="42" customWidth="1"/>
    <col min="3364" max="3364" width="11.5546875" style="42" customWidth="1"/>
    <col min="3365" max="3365" width="12.33203125" style="42" customWidth="1"/>
    <col min="3366" max="3366" width="7.44140625" style="42" customWidth="1"/>
    <col min="3367" max="3367" width="10" style="42" customWidth="1"/>
    <col min="3368" max="3368" width="11.44140625" style="42" customWidth="1"/>
    <col min="3369" max="3369" width="8.5546875" style="42" customWidth="1"/>
    <col min="3370" max="3370" width="13.109375" style="42" customWidth="1"/>
    <col min="3371" max="3371" width="7.109375" style="42" customWidth="1"/>
    <col min="3372" max="3372" width="9" style="42" customWidth="1"/>
    <col min="3373" max="3373" width="11.33203125" style="42" customWidth="1"/>
    <col min="3374" max="3375" width="9.109375" style="42"/>
    <col min="3376" max="3376" width="7.44140625" style="42" customWidth="1"/>
    <col min="3377" max="3377" width="9.109375" style="42"/>
    <col min="3378" max="3378" width="13.33203125" style="42" customWidth="1"/>
    <col min="3379" max="3379" width="15" style="42" customWidth="1"/>
    <col min="3380" max="3380" width="10.44140625" style="42" customWidth="1"/>
    <col min="3381" max="3381" width="11.5546875" style="42" customWidth="1"/>
    <col min="3382" max="3400" width="9.109375" style="42"/>
    <col min="3401" max="3401" width="7.109375" style="42" customWidth="1"/>
    <col min="3402" max="3402" width="5.6640625" style="42" customWidth="1"/>
    <col min="3403" max="3403" width="5.44140625" style="42" customWidth="1"/>
    <col min="3404" max="3588" width="9.109375" style="42"/>
    <col min="3589" max="3589" width="44.5546875" style="42" customWidth="1"/>
    <col min="3590" max="3590" width="13.33203125" style="42" customWidth="1"/>
    <col min="3591" max="3591" width="10.109375" style="42" customWidth="1"/>
    <col min="3592" max="3592" width="13.6640625" style="42" customWidth="1"/>
    <col min="3593" max="3593" width="10.44140625" style="42" customWidth="1"/>
    <col min="3594" max="3594" width="9.44140625" style="42" bestFit="1" customWidth="1"/>
    <col min="3595" max="3595" width="7.44140625" style="42" bestFit="1" customWidth="1"/>
    <col min="3596" max="3596" width="14.33203125" style="42" bestFit="1" customWidth="1"/>
    <col min="3597" max="3597" width="12.5546875" style="42" bestFit="1" customWidth="1"/>
    <col min="3598" max="3598" width="9.44140625" style="42" customWidth="1"/>
    <col min="3599" max="3599" width="10.44140625" style="42" customWidth="1"/>
    <col min="3600" max="3600" width="11.109375" style="42" bestFit="1" customWidth="1"/>
    <col min="3601" max="3601" width="9.88671875" style="42" bestFit="1" customWidth="1"/>
    <col min="3602" max="3602" width="11.44140625" style="42" bestFit="1" customWidth="1"/>
    <col min="3603" max="3603" width="10.88671875" style="42" customWidth="1"/>
    <col min="3604" max="3604" width="8.109375" style="42" customWidth="1"/>
    <col min="3605" max="3605" width="10.33203125" style="42" customWidth="1"/>
    <col min="3606" max="3606" width="11" style="42" customWidth="1"/>
    <col min="3607" max="3607" width="11.6640625" style="42" customWidth="1"/>
    <col min="3608" max="3608" width="8" style="42" customWidth="1"/>
    <col min="3609" max="3609" width="8.33203125" style="42" customWidth="1"/>
    <col min="3610" max="3611" width="13.44140625" style="42" customWidth="1"/>
    <col min="3612" max="3612" width="13.6640625" style="42" customWidth="1"/>
    <col min="3613" max="3613" width="13.44140625" style="42" customWidth="1"/>
    <col min="3614" max="3614" width="11.44140625" style="42" customWidth="1"/>
    <col min="3615" max="3615" width="10.6640625" style="42" customWidth="1"/>
    <col min="3616" max="3616" width="11.109375" style="42" customWidth="1"/>
    <col min="3617" max="3617" width="9.88671875" style="42" customWidth="1"/>
    <col min="3618" max="3618" width="10.33203125" style="42" customWidth="1"/>
    <col min="3619" max="3619" width="9.88671875" style="42" customWidth="1"/>
    <col min="3620" max="3620" width="11.5546875" style="42" customWidth="1"/>
    <col min="3621" max="3621" width="12.33203125" style="42" customWidth="1"/>
    <col min="3622" max="3622" width="7.44140625" style="42" customWidth="1"/>
    <col min="3623" max="3623" width="10" style="42" customWidth="1"/>
    <col min="3624" max="3624" width="11.44140625" style="42" customWidth="1"/>
    <col min="3625" max="3625" width="8.5546875" style="42" customWidth="1"/>
    <col min="3626" max="3626" width="13.109375" style="42" customWidth="1"/>
    <col min="3627" max="3627" width="7.109375" style="42" customWidth="1"/>
    <col min="3628" max="3628" width="9" style="42" customWidth="1"/>
    <col min="3629" max="3629" width="11.33203125" style="42" customWidth="1"/>
    <col min="3630" max="3631" width="9.109375" style="42"/>
    <col min="3632" max="3632" width="7.44140625" style="42" customWidth="1"/>
    <col min="3633" max="3633" width="9.109375" style="42"/>
    <col min="3634" max="3634" width="13.33203125" style="42" customWidth="1"/>
    <col min="3635" max="3635" width="15" style="42" customWidth="1"/>
    <col min="3636" max="3636" width="10.44140625" style="42" customWidth="1"/>
    <col min="3637" max="3637" width="11.5546875" style="42" customWidth="1"/>
    <col min="3638" max="3656" width="9.109375" style="42"/>
    <col min="3657" max="3657" width="7.109375" style="42" customWidth="1"/>
    <col min="3658" max="3658" width="5.6640625" style="42" customWidth="1"/>
    <col min="3659" max="3659" width="5.44140625" style="42" customWidth="1"/>
    <col min="3660" max="3844" width="9.109375" style="42"/>
    <col min="3845" max="3845" width="44.5546875" style="42" customWidth="1"/>
    <col min="3846" max="3846" width="13.33203125" style="42" customWidth="1"/>
    <col min="3847" max="3847" width="10.109375" style="42" customWidth="1"/>
    <col min="3848" max="3848" width="13.6640625" style="42" customWidth="1"/>
    <col min="3849" max="3849" width="10.44140625" style="42" customWidth="1"/>
    <col min="3850" max="3850" width="9.44140625" style="42" bestFit="1" customWidth="1"/>
    <col min="3851" max="3851" width="7.44140625" style="42" bestFit="1" customWidth="1"/>
    <col min="3852" max="3852" width="14.33203125" style="42" bestFit="1" customWidth="1"/>
    <col min="3853" max="3853" width="12.5546875" style="42" bestFit="1" customWidth="1"/>
    <col min="3854" max="3854" width="9.44140625" style="42" customWidth="1"/>
    <col min="3855" max="3855" width="10.44140625" style="42" customWidth="1"/>
    <col min="3856" max="3856" width="11.109375" style="42" bestFit="1" customWidth="1"/>
    <col min="3857" max="3857" width="9.88671875" style="42" bestFit="1" customWidth="1"/>
    <col min="3858" max="3858" width="11.44140625" style="42" bestFit="1" customWidth="1"/>
    <col min="3859" max="3859" width="10.88671875" style="42" customWidth="1"/>
    <col min="3860" max="3860" width="8.109375" style="42" customWidth="1"/>
    <col min="3861" max="3861" width="10.33203125" style="42" customWidth="1"/>
    <col min="3862" max="3862" width="11" style="42" customWidth="1"/>
    <col min="3863" max="3863" width="11.6640625" style="42" customWidth="1"/>
    <col min="3864" max="3864" width="8" style="42" customWidth="1"/>
    <col min="3865" max="3865" width="8.33203125" style="42" customWidth="1"/>
    <col min="3866" max="3867" width="13.44140625" style="42" customWidth="1"/>
    <col min="3868" max="3868" width="13.6640625" style="42" customWidth="1"/>
    <col min="3869" max="3869" width="13.44140625" style="42" customWidth="1"/>
    <col min="3870" max="3870" width="11.44140625" style="42" customWidth="1"/>
    <col min="3871" max="3871" width="10.6640625" style="42" customWidth="1"/>
    <col min="3872" max="3872" width="11.109375" style="42" customWidth="1"/>
    <col min="3873" max="3873" width="9.88671875" style="42" customWidth="1"/>
    <col min="3874" max="3874" width="10.33203125" style="42" customWidth="1"/>
    <col min="3875" max="3875" width="9.88671875" style="42" customWidth="1"/>
    <col min="3876" max="3876" width="11.5546875" style="42" customWidth="1"/>
    <col min="3877" max="3877" width="12.33203125" style="42" customWidth="1"/>
    <col min="3878" max="3878" width="7.44140625" style="42" customWidth="1"/>
    <col min="3879" max="3879" width="10" style="42" customWidth="1"/>
    <col min="3880" max="3880" width="11.44140625" style="42" customWidth="1"/>
    <col min="3881" max="3881" width="8.5546875" style="42" customWidth="1"/>
    <col min="3882" max="3882" width="13.109375" style="42" customWidth="1"/>
    <col min="3883" max="3883" width="7.109375" style="42" customWidth="1"/>
    <col min="3884" max="3884" width="9" style="42" customWidth="1"/>
    <col min="3885" max="3885" width="11.33203125" style="42" customWidth="1"/>
    <col min="3886" max="3887" width="9.109375" style="42"/>
    <col min="3888" max="3888" width="7.44140625" style="42" customWidth="1"/>
    <col min="3889" max="3889" width="9.109375" style="42"/>
    <col min="3890" max="3890" width="13.33203125" style="42" customWidth="1"/>
    <col min="3891" max="3891" width="15" style="42" customWidth="1"/>
    <col min="3892" max="3892" width="10.44140625" style="42" customWidth="1"/>
    <col min="3893" max="3893" width="11.5546875" style="42" customWidth="1"/>
    <col min="3894" max="3912" width="9.109375" style="42"/>
    <col min="3913" max="3913" width="7.109375" style="42" customWidth="1"/>
    <col min="3914" max="3914" width="5.6640625" style="42" customWidth="1"/>
    <col min="3915" max="3915" width="5.44140625" style="42" customWidth="1"/>
    <col min="3916" max="4100" width="9.109375" style="42"/>
    <col min="4101" max="4101" width="44.5546875" style="42" customWidth="1"/>
    <col min="4102" max="4102" width="13.33203125" style="42" customWidth="1"/>
    <col min="4103" max="4103" width="10.109375" style="42" customWidth="1"/>
    <col min="4104" max="4104" width="13.6640625" style="42" customWidth="1"/>
    <col min="4105" max="4105" width="10.44140625" style="42" customWidth="1"/>
    <col min="4106" max="4106" width="9.44140625" style="42" bestFit="1" customWidth="1"/>
    <col min="4107" max="4107" width="7.44140625" style="42" bestFit="1" customWidth="1"/>
    <col min="4108" max="4108" width="14.33203125" style="42" bestFit="1" customWidth="1"/>
    <col min="4109" max="4109" width="12.5546875" style="42" bestFit="1" customWidth="1"/>
    <col min="4110" max="4110" width="9.44140625" style="42" customWidth="1"/>
    <col min="4111" max="4111" width="10.44140625" style="42" customWidth="1"/>
    <col min="4112" max="4112" width="11.109375" style="42" bestFit="1" customWidth="1"/>
    <col min="4113" max="4113" width="9.88671875" style="42" bestFit="1" customWidth="1"/>
    <col min="4114" max="4114" width="11.44140625" style="42" bestFit="1" customWidth="1"/>
    <col min="4115" max="4115" width="10.88671875" style="42" customWidth="1"/>
    <col min="4116" max="4116" width="8.109375" style="42" customWidth="1"/>
    <col min="4117" max="4117" width="10.33203125" style="42" customWidth="1"/>
    <col min="4118" max="4118" width="11" style="42" customWidth="1"/>
    <col min="4119" max="4119" width="11.6640625" style="42" customWidth="1"/>
    <col min="4120" max="4120" width="8" style="42" customWidth="1"/>
    <col min="4121" max="4121" width="8.33203125" style="42" customWidth="1"/>
    <col min="4122" max="4123" width="13.44140625" style="42" customWidth="1"/>
    <col min="4124" max="4124" width="13.6640625" style="42" customWidth="1"/>
    <col min="4125" max="4125" width="13.44140625" style="42" customWidth="1"/>
    <col min="4126" max="4126" width="11.44140625" style="42" customWidth="1"/>
    <col min="4127" max="4127" width="10.6640625" style="42" customWidth="1"/>
    <col min="4128" max="4128" width="11.109375" style="42" customWidth="1"/>
    <col min="4129" max="4129" width="9.88671875" style="42" customWidth="1"/>
    <col min="4130" max="4130" width="10.33203125" style="42" customWidth="1"/>
    <col min="4131" max="4131" width="9.88671875" style="42" customWidth="1"/>
    <col min="4132" max="4132" width="11.5546875" style="42" customWidth="1"/>
    <col min="4133" max="4133" width="12.33203125" style="42" customWidth="1"/>
    <col min="4134" max="4134" width="7.44140625" style="42" customWidth="1"/>
    <col min="4135" max="4135" width="10" style="42" customWidth="1"/>
    <col min="4136" max="4136" width="11.44140625" style="42" customWidth="1"/>
    <col min="4137" max="4137" width="8.5546875" style="42" customWidth="1"/>
    <col min="4138" max="4138" width="13.109375" style="42" customWidth="1"/>
    <col min="4139" max="4139" width="7.109375" style="42" customWidth="1"/>
    <col min="4140" max="4140" width="9" style="42" customWidth="1"/>
    <col min="4141" max="4141" width="11.33203125" style="42" customWidth="1"/>
    <col min="4142" max="4143" width="9.109375" style="42"/>
    <col min="4144" max="4144" width="7.44140625" style="42" customWidth="1"/>
    <col min="4145" max="4145" width="9.109375" style="42"/>
    <col min="4146" max="4146" width="13.33203125" style="42" customWidth="1"/>
    <col min="4147" max="4147" width="15" style="42" customWidth="1"/>
    <col min="4148" max="4148" width="10.44140625" style="42" customWidth="1"/>
    <col min="4149" max="4149" width="11.5546875" style="42" customWidth="1"/>
    <col min="4150" max="4168" width="9.109375" style="42"/>
    <col min="4169" max="4169" width="7.109375" style="42" customWidth="1"/>
    <col min="4170" max="4170" width="5.6640625" style="42" customWidth="1"/>
    <col min="4171" max="4171" width="5.44140625" style="42" customWidth="1"/>
    <col min="4172" max="4356" width="9.109375" style="42"/>
    <col min="4357" max="4357" width="44.5546875" style="42" customWidth="1"/>
    <col min="4358" max="4358" width="13.33203125" style="42" customWidth="1"/>
    <col min="4359" max="4359" width="10.109375" style="42" customWidth="1"/>
    <col min="4360" max="4360" width="13.6640625" style="42" customWidth="1"/>
    <col min="4361" max="4361" width="10.44140625" style="42" customWidth="1"/>
    <col min="4362" max="4362" width="9.44140625" style="42" bestFit="1" customWidth="1"/>
    <col min="4363" max="4363" width="7.44140625" style="42" bestFit="1" customWidth="1"/>
    <col min="4364" max="4364" width="14.33203125" style="42" bestFit="1" customWidth="1"/>
    <col min="4365" max="4365" width="12.5546875" style="42" bestFit="1" customWidth="1"/>
    <col min="4366" max="4366" width="9.44140625" style="42" customWidth="1"/>
    <col min="4367" max="4367" width="10.44140625" style="42" customWidth="1"/>
    <col min="4368" max="4368" width="11.109375" style="42" bestFit="1" customWidth="1"/>
    <col min="4369" max="4369" width="9.88671875" style="42" bestFit="1" customWidth="1"/>
    <col min="4370" max="4370" width="11.44140625" style="42" bestFit="1" customWidth="1"/>
    <col min="4371" max="4371" width="10.88671875" style="42" customWidth="1"/>
    <col min="4372" max="4372" width="8.109375" style="42" customWidth="1"/>
    <col min="4373" max="4373" width="10.33203125" style="42" customWidth="1"/>
    <col min="4374" max="4374" width="11" style="42" customWidth="1"/>
    <col min="4375" max="4375" width="11.6640625" style="42" customWidth="1"/>
    <col min="4376" max="4376" width="8" style="42" customWidth="1"/>
    <col min="4377" max="4377" width="8.33203125" style="42" customWidth="1"/>
    <col min="4378" max="4379" width="13.44140625" style="42" customWidth="1"/>
    <col min="4380" max="4380" width="13.6640625" style="42" customWidth="1"/>
    <col min="4381" max="4381" width="13.44140625" style="42" customWidth="1"/>
    <col min="4382" max="4382" width="11.44140625" style="42" customWidth="1"/>
    <col min="4383" max="4383" width="10.6640625" style="42" customWidth="1"/>
    <col min="4384" max="4384" width="11.109375" style="42" customWidth="1"/>
    <col min="4385" max="4385" width="9.88671875" style="42" customWidth="1"/>
    <col min="4386" max="4386" width="10.33203125" style="42" customWidth="1"/>
    <col min="4387" max="4387" width="9.88671875" style="42" customWidth="1"/>
    <col min="4388" max="4388" width="11.5546875" style="42" customWidth="1"/>
    <col min="4389" max="4389" width="12.33203125" style="42" customWidth="1"/>
    <col min="4390" max="4390" width="7.44140625" style="42" customWidth="1"/>
    <col min="4391" max="4391" width="10" style="42" customWidth="1"/>
    <col min="4392" max="4392" width="11.44140625" style="42" customWidth="1"/>
    <col min="4393" max="4393" width="8.5546875" style="42" customWidth="1"/>
    <col min="4394" max="4394" width="13.109375" style="42" customWidth="1"/>
    <col min="4395" max="4395" width="7.109375" style="42" customWidth="1"/>
    <col min="4396" max="4396" width="9" style="42" customWidth="1"/>
    <col min="4397" max="4397" width="11.33203125" style="42" customWidth="1"/>
    <col min="4398" max="4399" width="9.109375" style="42"/>
    <col min="4400" max="4400" width="7.44140625" style="42" customWidth="1"/>
    <col min="4401" max="4401" width="9.109375" style="42"/>
    <col min="4402" max="4402" width="13.33203125" style="42" customWidth="1"/>
    <col min="4403" max="4403" width="15" style="42" customWidth="1"/>
    <col min="4404" max="4404" width="10.44140625" style="42" customWidth="1"/>
    <col min="4405" max="4405" width="11.5546875" style="42" customWidth="1"/>
    <col min="4406" max="4424" width="9.109375" style="42"/>
    <col min="4425" max="4425" width="7.109375" style="42" customWidth="1"/>
    <col min="4426" max="4426" width="5.6640625" style="42" customWidth="1"/>
    <col min="4427" max="4427" width="5.44140625" style="42" customWidth="1"/>
    <col min="4428" max="4612" width="9.109375" style="42"/>
    <col min="4613" max="4613" width="44.5546875" style="42" customWidth="1"/>
    <col min="4614" max="4614" width="13.33203125" style="42" customWidth="1"/>
    <col min="4615" max="4615" width="10.109375" style="42" customWidth="1"/>
    <col min="4616" max="4616" width="13.6640625" style="42" customWidth="1"/>
    <col min="4617" max="4617" width="10.44140625" style="42" customWidth="1"/>
    <col min="4618" max="4618" width="9.44140625" style="42" bestFit="1" customWidth="1"/>
    <col min="4619" max="4619" width="7.44140625" style="42" bestFit="1" customWidth="1"/>
    <col min="4620" max="4620" width="14.33203125" style="42" bestFit="1" customWidth="1"/>
    <col min="4621" max="4621" width="12.5546875" style="42" bestFit="1" customWidth="1"/>
    <col min="4622" max="4622" width="9.44140625" style="42" customWidth="1"/>
    <col min="4623" max="4623" width="10.44140625" style="42" customWidth="1"/>
    <col min="4624" max="4624" width="11.109375" style="42" bestFit="1" customWidth="1"/>
    <col min="4625" max="4625" width="9.88671875" style="42" bestFit="1" customWidth="1"/>
    <col min="4626" max="4626" width="11.44140625" style="42" bestFit="1" customWidth="1"/>
    <col min="4627" max="4627" width="10.88671875" style="42" customWidth="1"/>
    <col min="4628" max="4628" width="8.109375" style="42" customWidth="1"/>
    <col min="4629" max="4629" width="10.33203125" style="42" customWidth="1"/>
    <col min="4630" max="4630" width="11" style="42" customWidth="1"/>
    <col min="4631" max="4631" width="11.6640625" style="42" customWidth="1"/>
    <col min="4632" max="4632" width="8" style="42" customWidth="1"/>
    <col min="4633" max="4633" width="8.33203125" style="42" customWidth="1"/>
    <col min="4634" max="4635" width="13.44140625" style="42" customWidth="1"/>
    <col min="4636" max="4636" width="13.6640625" style="42" customWidth="1"/>
    <col min="4637" max="4637" width="13.44140625" style="42" customWidth="1"/>
    <col min="4638" max="4638" width="11.44140625" style="42" customWidth="1"/>
    <col min="4639" max="4639" width="10.6640625" style="42" customWidth="1"/>
    <col min="4640" max="4640" width="11.109375" style="42" customWidth="1"/>
    <col min="4641" max="4641" width="9.88671875" style="42" customWidth="1"/>
    <col min="4642" max="4642" width="10.33203125" style="42" customWidth="1"/>
    <col min="4643" max="4643" width="9.88671875" style="42" customWidth="1"/>
    <col min="4644" max="4644" width="11.5546875" style="42" customWidth="1"/>
    <col min="4645" max="4645" width="12.33203125" style="42" customWidth="1"/>
    <col min="4646" max="4646" width="7.44140625" style="42" customWidth="1"/>
    <col min="4647" max="4647" width="10" style="42" customWidth="1"/>
    <col min="4648" max="4648" width="11.44140625" style="42" customWidth="1"/>
    <col min="4649" max="4649" width="8.5546875" style="42" customWidth="1"/>
    <col min="4650" max="4650" width="13.109375" style="42" customWidth="1"/>
    <col min="4651" max="4651" width="7.109375" style="42" customWidth="1"/>
    <col min="4652" max="4652" width="9" style="42" customWidth="1"/>
    <col min="4653" max="4653" width="11.33203125" style="42" customWidth="1"/>
    <col min="4654" max="4655" width="9.109375" style="42"/>
    <col min="4656" max="4656" width="7.44140625" style="42" customWidth="1"/>
    <col min="4657" max="4657" width="9.109375" style="42"/>
    <col min="4658" max="4658" width="13.33203125" style="42" customWidth="1"/>
    <col min="4659" max="4659" width="15" style="42" customWidth="1"/>
    <col min="4660" max="4660" width="10.44140625" style="42" customWidth="1"/>
    <col min="4661" max="4661" width="11.5546875" style="42" customWidth="1"/>
    <col min="4662" max="4680" width="9.109375" style="42"/>
    <col min="4681" max="4681" width="7.109375" style="42" customWidth="1"/>
    <col min="4682" max="4682" width="5.6640625" style="42" customWidth="1"/>
    <col min="4683" max="4683" width="5.44140625" style="42" customWidth="1"/>
    <col min="4684" max="4868" width="9.109375" style="42"/>
    <col min="4869" max="4869" width="44.5546875" style="42" customWidth="1"/>
    <col min="4870" max="4870" width="13.33203125" style="42" customWidth="1"/>
    <col min="4871" max="4871" width="10.109375" style="42" customWidth="1"/>
    <col min="4872" max="4872" width="13.6640625" style="42" customWidth="1"/>
    <col min="4873" max="4873" width="10.44140625" style="42" customWidth="1"/>
    <col min="4874" max="4874" width="9.44140625" style="42" bestFit="1" customWidth="1"/>
    <col min="4875" max="4875" width="7.44140625" style="42" bestFit="1" customWidth="1"/>
    <col min="4876" max="4876" width="14.33203125" style="42" bestFit="1" customWidth="1"/>
    <col min="4877" max="4877" width="12.5546875" style="42" bestFit="1" customWidth="1"/>
    <col min="4878" max="4878" width="9.44140625" style="42" customWidth="1"/>
    <col min="4879" max="4879" width="10.44140625" style="42" customWidth="1"/>
    <col min="4880" max="4880" width="11.109375" style="42" bestFit="1" customWidth="1"/>
    <col min="4881" max="4881" width="9.88671875" style="42" bestFit="1" customWidth="1"/>
    <col min="4882" max="4882" width="11.44140625" style="42" bestFit="1" customWidth="1"/>
    <col min="4883" max="4883" width="10.88671875" style="42" customWidth="1"/>
    <col min="4884" max="4884" width="8.109375" style="42" customWidth="1"/>
    <col min="4885" max="4885" width="10.33203125" style="42" customWidth="1"/>
    <col min="4886" max="4886" width="11" style="42" customWidth="1"/>
    <col min="4887" max="4887" width="11.6640625" style="42" customWidth="1"/>
    <col min="4888" max="4888" width="8" style="42" customWidth="1"/>
    <col min="4889" max="4889" width="8.33203125" style="42" customWidth="1"/>
    <col min="4890" max="4891" width="13.44140625" style="42" customWidth="1"/>
    <col min="4892" max="4892" width="13.6640625" style="42" customWidth="1"/>
    <col min="4893" max="4893" width="13.44140625" style="42" customWidth="1"/>
    <col min="4894" max="4894" width="11.44140625" style="42" customWidth="1"/>
    <col min="4895" max="4895" width="10.6640625" style="42" customWidth="1"/>
    <col min="4896" max="4896" width="11.109375" style="42" customWidth="1"/>
    <col min="4897" max="4897" width="9.88671875" style="42" customWidth="1"/>
    <col min="4898" max="4898" width="10.33203125" style="42" customWidth="1"/>
    <col min="4899" max="4899" width="9.88671875" style="42" customWidth="1"/>
    <col min="4900" max="4900" width="11.5546875" style="42" customWidth="1"/>
    <col min="4901" max="4901" width="12.33203125" style="42" customWidth="1"/>
    <col min="4902" max="4902" width="7.44140625" style="42" customWidth="1"/>
    <col min="4903" max="4903" width="10" style="42" customWidth="1"/>
    <col min="4904" max="4904" width="11.44140625" style="42" customWidth="1"/>
    <col min="4905" max="4905" width="8.5546875" style="42" customWidth="1"/>
    <col min="4906" max="4906" width="13.109375" style="42" customWidth="1"/>
    <col min="4907" max="4907" width="7.109375" style="42" customWidth="1"/>
    <col min="4908" max="4908" width="9" style="42" customWidth="1"/>
    <col min="4909" max="4909" width="11.33203125" style="42" customWidth="1"/>
    <col min="4910" max="4911" width="9.109375" style="42"/>
    <col min="4912" max="4912" width="7.44140625" style="42" customWidth="1"/>
    <col min="4913" max="4913" width="9.109375" style="42"/>
    <col min="4914" max="4914" width="13.33203125" style="42" customWidth="1"/>
    <col min="4915" max="4915" width="15" style="42" customWidth="1"/>
    <col min="4916" max="4916" width="10.44140625" style="42" customWidth="1"/>
    <col min="4917" max="4917" width="11.5546875" style="42" customWidth="1"/>
    <col min="4918" max="4936" width="9.109375" style="42"/>
    <col min="4937" max="4937" width="7.109375" style="42" customWidth="1"/>
    <col min="4938" max="4938" width="5.6640625" style="42" customWidth="1"/>
    <col min="4939" max="4939" width="5.44140625" style="42" customWidth="1"/>
    <col min="4940" max="5124" width="9.109375" style="42"/>
    <col min="5125" max="5125" width="44.5546875" style="42" customWidth="1"/>
    <col min="5126" max="5126" width="13.33203125" style="42" customWidth="1"/>
    <col min="5127" max="5127" width="10.109375" style="42" customWidth="1"/>
    <col min="5128" max="5128" width="13.6640625" style="42" customWidth="1"/>
    <col min="5129" max="5129" width="10.44140625" style="42" customWidth="1"/>
    <col min="5130" max="5130" width="9.44140625" style="42" bestFit="1" customWidth="1"/>
    <col min="5131" max="5131" width="7.44140625" style="42" bestFit="1" customWidth="1"/>
    <col min="5132" max="5132" width="14.33203125" style="42" bestFit="1" customWidth="1"/>
    <col min="5133" max="5133" width="12.5546875" style="42" bestFit="1" customWidth="1"/>
    <col min="5134" max="5134" width="9.44140625" style="42" customWidth="1"/>
    <col min="5135" max="5135" width="10.44140625" style="42" customWidth="1"/>
    <col min="5136" max="5136" width="11.109375" style="42" bestFit="1" customWidth="1"/>
    <col min="5137" max="5137" width="9.88671875" style="42" bestFit="1" customWidth="1"/>
    <col min="5138" max="5138" width="11.44140625" style="42" bestFit="1" customWidth="1"/>
    <col min="5139" max="5139" width="10.88671875" style="42" customWidth="1"/>
    <col min="5140" max="5140" width="8.109375" style="42" customWidth="1"/>
    <col min="5141" max="5141" width="10.33203125" style="42" customWidth="1"/>
    <col min="5142" max="5142" width="11" style="42" customWidth="1"/>
    <col min="5143" max="5143" width="11.6640625" style="42" customWidth="1"/>
    <col min="5144" max="5144" width="8" style="42" customWidth="1"/>
    <col min="5145" max="5145" width="8.33203125" style="42" customWidth="1"/>
    <col min="5146" max="5147" width="13.44140625" style="42" customWidth="1"/>
    <col min="5148" max="5148" width="13.6640625" style="42" customWidth="1"/>
    <col min="5149" max="5149" width="13.44140625" style="42" customWidth="1"/>
    <col min="5150" max="5150" width="11.44140625" style="42" customWidth="1"/>
    <col min="5151" max="5151" width="10.6640625" style="42" customWidth="1"/>
    <col min="5152" max="5152" width="11.109375" style="42" customWidth="1"/>
    <col min="5153" max="5153" width="9.88671875" style="42" customWidth="1"/>
    <col min="5154" max="5154" width="10.33203125" style="42" customWidth="1"/>
    <col min="5155" max="5155" width="9.88671875" style="42" customWidth="1"/>
    <col min="5156" max="5156" width="11.5546875" style="42" customWidth="1"/>
    <col min="5157" max="5157" width="12.33203125" style="42" customWidth="1"/>
    <col min="5158" max="5158" width="7.44140625" style="42" customWidth="1"/>
    <col min="5159" max="5159" width="10" style="42" customWidth="1"/>
    <col min="5160" max="5160" width="11.44140625" style="42" customWidth="1"/>
    <col min="5161" max="5161" width="8.5546875" style="42" customWidth="1"/>
    <col min="5162" max="5162" width="13.109375" style="42" customWidth="1"/>
    <col min="5163" max="5163" width="7.109375" style="42" customWidth="1"/>
    <col min="5164" max="5164" width="9" style="42" customWidth="1"/>
    <col min="5165" max="5165" width="11.33203125" style="42" customWidth="1"/>
    <col min="5166" max="5167" width="9.109375" style="42"/>
    <col min="5168" max="5168" width="7.44140625" style="42" customWidth="1"/>
    <col min="5169" max="5169" width="9.109375" style="42"/>
    <col min="5170" max="5170" width="13.33203125" style="42" customWidth="1"/>
    <col min="5171" max="5171" width="15" style="42" customWidth="1"/>
    <col min="5172" max="5172" width="10.44140625" style="42" customWidth="1"/>
    <col min="5173" max="5173" width="11.5546875" style="42" customWidth="1"/>
    <col min="5174" max="5192" width="9.109375" style="42"/>
    <col min="5193" max="5193" width="7.109375" style="42" customWidth="1"/>
    <col min="5194" max="5194" width="5.6640625" style="42" customWidth="1"/>
    <col min="5195" max="5195" width="5.44140625" style="42" customWidth="1"/>
    <col min="5196" max="5380" width="9.109375" style="42"/>
    <col min="5381" max="5381" width="44.5546875" style="42" customWidth="1"/>
    <col min="5382" max="5382" width="13.33203125" style="42" customWidth="1"/>
    <col min="5383" max="5383" width="10.109375" style="42" customWidth="1"/>
    <col min="5384" max="5384" width="13.6640625" style="42" customWidth="1"/>
    <col min="5385" max="5385" width="10.44140625" style="42" customWidth="1"/>
    <col min="5386" max="5386" width="9.44140625" style="42" bestFit="1" customWidth="1"/>
    <col min="5387" max="5387" width="7.44140625" style="42" bestFit="1" customWidth="1"/>
    <col min="5388" max="5388" width="14.33203125" style="42" bestFit="1" customWidth="1"/>
    <col min="5389" max="5389" width="12.5546875" style="42" bestFit="1" customWidth="1"/>
    <col min="5390" max="5390" width="9.44140625" style="42" customWidth="1"/>
    <col min="5391" max="5391" width="10.44140625" style="42" customWidth="1"/>
    <col min="5392" max="5392" width="11.109375" style="42" bestFit="1" customWidth="1"/>
    <col min="5393" max="5393" width="9.88671875" style="42" bestFit="1" customWidth="1"/>
    <col min="5394" max="5394" width="11.44140625" style="42" bestFit="1" customWidth="1"/>
    <col min="5395" max="5395" width="10.88671875" style="42" customWidth="1"/>
    <col min="5396" max="5396" width="8.109375" style="42" customWidth="1"/>
    <col min="5397" max="5397" width="10.33203125" style="42" customWidth="1"/>
    <col min="5398" max="5398" width="11" style="42" customWidth="1"/>
    <col min="5399" max="5399" width="11.6640625" style="42" customWidth="1"/>
    <col min="5400" max="5400" width="8" style="42" customWidth="1"/>
    <col min="5401" max="5401" width="8.33203125" style="42" customWidth="1"/>
    <col min="5402" max="5403" width="13.44140625" style="42" customWidth="1"/>
    <col min="5404" max="5404" width="13.6640625" style="42" customWidth="1"/>
    <col min="5405" max="5405" width="13.44140625" style="42" customWidth="1"/>
    <col min="5406" max="5406" width="11.44140625" style="42" customWidth="1"/>
    <col min="5407" max="5407" width="10.6640625" style="42" customWidth="1"/>
    <col min="5408" max="5408" width="11.109375" style="42" customWidth="1"/>
    <col min="5409" max="5409" width="9.88671875" style="42" customWidth="1"/>
    <col min="5410" max="5410" width="10.33203125" style="42" customWidth="1"/>
    <col min="5411" max="5411" width="9.88671875" style="42" customWidth="1"/>
    <col min="5412" max="5412" width="11.5546875" style="42" customWidth="1"/>
    <col min="5413" max="5413" width="12.33203125" style="42" customWidth="1"/>
    <col min="5414" max="5414" width="7.44140625" style="42" customWidth="1"/>
    <col min="5415" max="5415" width="10" style="42" customWidth="1"/>
    <col min="5416" max="5416" width="11.44140625" style="42" customWidth="1"/>
    <col min="5417" max="5417" width="8.5546875" style="42" customWidth="1"/>
    <col min="5418" max="5418" width="13.109375" style="42" customWidth="1"/>
    <col min="5419" max="5419" width="7.109375" style="42" customWidth="1"/>
    <col min="5420" max="5420" width="9" style="42" customWidth="1"/>
    <col min="5421" max="5421" width="11.33203125" style="42" customWidth="1"/>
    <col min="5422" max="5423" width="9.109375" style="42"/>
    <col min="5424" max="5424" width="7.44140625" style="42" customWidth="1"/>
    <col min="5425" max="5425" width="9.109375" style="42"/>
    <col min="5426" max="5426" width="13.33203125" style="42" customWidth="1"/>
    <col min="5427" max="5427" width="15" style="42" customWidth="1"/>
    <col min="5428" max="5428" width="10.44140625" style="42" customWidth="1"/>
    <col min="5429" max="5429" width="11.5546875" style="42" customWidth="1"/>
    <col min="5430" max="5448" width="9.109375" style="42"/>
    <col min="5449" max="5449" width="7.109375" style="42" customWidth="1"/>
    <col min="5450" max="5450" width="5.6640625" style="42" customWidth="1"/>
    <col min="5451" max="5451" width="5.44140625" style="42" customWidth="1"/>
    <col min="5452" max="5636" width="9.109375" style="42"/>
    <col min="5637" max="5637" width="44.5546875" style="42" customWidth="1"/>
    <col min="5638" max="5638" width="13.33203125" style="42" customWidth="1"/>
    <col min="5639" max="5639" width="10.109375" style="42" customWidth="1"/>
    <col min="5640" max="5640" width="13.6640625" style="42" customWidth="1"/>
    <col min="5641" max="5641" width="10.44140625" style="42" customWidth="1"/>
    <col min="5642" max="5642" width="9.44140625" style="42" bestFit="1" customWidth="1"/>
    <col min="5643" max="5643" width="7.44140625" style="42" bestFit="1" customWidth="1"/>
    <col min="5644" max="5644" width="14.33203125" style="42" bestFit="1" customWidth="1"/>
    <col min="5645" max="5645" width="12.5546875" style="42" bestFit="1" customWidth="1"/>
    <col min="5646" max="5646" width="9.44140625" style="42" customWidth="1"/>
    <col min="5647" max="5647" width="10.44140625" style="42" customWidth="1"/>
    <col min="5648" max="5648" width="11.109375" style="42" bestFit="1" customWidth="1"/>
    <col min="5649" max="5649" width="9.88671875" style="42" bestFit="1" customWidth="1"/>
    <col min="5650" max="5650" width="11.44140625" style="42" bestFit="1" customWidth="1"/>
    <col min="5651" max="5651" width="10.88671875" style="42" customWidth="1"/>
    <col min="5652" max="5652" width="8.109375" style="42" customWidth="1"/>
    <col min="5653" max="5653" width="10.33203125" style="42" customWidth="1"/>
    <col min="5654" max="5654" width="11" style="42" customWidth="1"/>
    <col min="5655" max="5655" width="11.6640625" style="42" customWidth="1"/>
    <col min="5656" max="5656" width="8" style="42" customWidth="1"/>
    <col min="5657" max="5657" width="8.33203125" style="42" customWidth="1"/>
    <col min="5658" max="5659" width="13.44140625" style="42" customWidth="1"/>
    <col min="5660" max="5660" width="13.6640625" style="42" customWidth="1"/>
    <col min="5661" max="5661" width="13.44140625" style="42" customWidth="1"/>
    <col min="5662" max="5662" width="11.44140625" style="42" customWidth="1"/>
    <col min="5663" max="5663" width="10.6640625" style="42" customWidth="1"/>
    <col min="5664" max="5664" width="11.109375" style="42" customWidth="1"/>
    <col min="5665" max="5665" width="9.88671875" style="42" customWidth="1"/>
    <col min="5666" max="5666" width="10.33203125" style="42" customWidth="1"/>
    <col min="5667" max="5667" width="9.88671875" style="42" customWidth="1"/>
    <col min="5668" max="5668" width="11.5546875" style="42" customWidth="1"/>
    <col min="5669" max="5669" width="12.33203125" style="42" customWidth="1"/>
    <col min="5670" max="5670" width="7.44140625" style="42" customWidth="1"/>
    <col min="5671" max="5671" width="10" style="42" customWidth="1"/>
    <col min="5672" max="5672" width="11.44140625" style="42" customWidth="1"/>
    <col min="5673" max="5673" width="8.5546875" style="42" customWidth="1"/>
    <col min="5674" max="5674" width="13.109375" style="42" customWidth="1"/>
    <col min="5675" max="5675" width="7.109375" style="42" customWidth="1"/>
    <col min="5676" max="5676" width="9" style="42" customWidth="1"/>
    <col min="5677" max="5677" width="11.33203125" style="42" customWidth="1"/>
    <col min="5678" max="5679" width="9.109375" style="42"/>
    <col min="5680" max="5680" width="7.44140625" style="42" customWidth="1"/>
    <col min="5681" max="5681" width="9.109375" style="42"/>
    <col min="5682" max="5682" width="13.33203125" style="42" customWidth="1"/>
    <col min="5683" max="5683" width="15" style="42" customWidth="1"/>
    <col min="5684" max="5684" width="10.44140625" style="42" customWidth="1"/>
    <col min="5685" max="5685" width="11.5546875" style="42" customWidth="1"/>
    <col min="5686" max="5704" width="9.109375" style="42"/>
    <col min="5705" max="5705" width="7.109375" style="42" customWidth="1"/>
    <col min="5706" max="5706" width="5.6640625" style="42" customWidth="1"/>
    <col min="5707" max="5707" width="5.44140625" style="42" customWidth="1"/>
    <col min="5708" max="5892" width="9.109375" style="42"/>
    <col min="5893" max="5893" width="44.5546875" style="42" customWidth="1"/>
    <col min="5894" max="5894" width="13.33203125" style="42" customWidth="1"/>
    <col min="5895" max="5895" width="10.109375" style="42" customWidth="1"/>
    <col min="5896" max="5896" width="13.6640625" style="42" customWidth="1"/>
    <col min="5897" max="5897" width="10.44140625" style="42" customWidth="1"/>
    <col min="5898" max="5898" width="9.44140625" style="42" bestFit="1" customWidth="1"/>
    <col min="5899" max="5899" width="7.44140625" style="42" bestFit="1" customWidth="1"/>
    <col min="5900" max="5900" width="14.33203125" style="42" bestFit="1" customWidth="1"/>
    <col min="5901" max="5901" width="12.5546875" style="42" bestFit="1" customWidth="1"/>
    <col min="5902" max="5902" width="9.44140625" style="42" customWidth="1"/>
    <col min="5903" max="5903" width="10.44140625" style="42" customWidth="1"/>
    <col min="5904" max="5904" width="11.109375" style="42" bestFit="1" customWidth="1"/>
    <col min="5905" max="5905" width="9.88671875" style="42" bestFit="1" customWidth="1"/>
    <col min="5906" max="5906" width="11.44140625" style="42" bestFit="1" customWidth="1"/>
    <col min="5907" max="5907" width="10.88671875" style="42" customWidth="1"/>
    <col min="5908" max="5908" width="8.109375" style="42" customWidth="1"/>
    <col min="5909" max="5909" width="10.33203125" style="42" customWidth="1"/>
    <col min="5910" max="5910" width="11" style="42" customWidth="1"/>
    <col min="5911" max="5911" width="11.6640625" style="42" customWidth="1"/>
    <col min="5912" max="5912" width="8" style="42" customWidth="1"/>
    <col min="5913" max="5913" width="8.33203125" style="42" customWidth="1"/>
    <col min="5914" max="5915" width="13.44140625" style="42" customWidth="1"/>
    <col min="5916" max="5916" width="13.6640625" style="42" customWidth="1"/>
    <col min="5917" max="5917" width="13.44140625" style="42" customWidth="1"/>
    <col min="5918" max="5918" width="11.44140625" style="42" customWidth="1"/>
    <col min="5919" max="5919" width="10.6640625" style="42" customWidth="1"/>
    <col min="5920" max="5920" width="11.109375" style="42" customWidth="1"/>
    <col min="5921" max="5921" width="9.88671875" style="42" customWidth="1"/>
    <col min="5922" max="5922" width="10.33203125" style="42" customWidth="1"/>
    <col min="5923" max="5923" width="9.88671875" style="42" customWidth="1"/>
    <col min="5924" max="5924" width="11.5546875" style="42" customWidth="1"/>
    <col min="5925" max="5925" width="12.33203125" style="42" customWidth="1"/>
    <col min="5926" max="5926" width="7.44140625" style="42" customWidth="1"/>
    <col min="5927" max="5927" width="10" style="42" customWidth="1"/>
    <col min="5928" max="5928" width="11.44140625" style="42" customWidth="1"/>
    <col min="5929" max="5929" width="8.5546875" style="42" customWidth="1"/>
    <col min="5930" max="5930" width="13.109375" style="42" customWidth="1"/>
    <col min="5931" max="5931" width="7.109375" style="42" customWidth="1"/>
    <col min="5932" max="5932" width="9" style="42" customWidth="1"/>
    <col min="5933" max="5933" width="11.33203125" style="42" customWidth="1"/>
    <col min="5934" max="5935" width="9.109375" style="42"/>
    <col min="5936" max="5936" width="7.44140625" style="42" customWidth="1"/>
    <col min="5937" max="5937" width="9.109375" style="42"/>
    <col min="5938" max="5938" width="13.33203125" style="42" customWidth="1"/>
    <col min="5939" max="5939" width="15" style="42" customWidth="1"/>
    <col min="5940" max="5940" width="10.44140625" style="42" customWidth="1"/>
    <col min="5941" max="5941" width="11.5546875" style="42" customWidth="1"/>
    <col min="5942" max="5960" width="9.109375" style="42"/>
    <col min="5961" max="5961" width="7.109375" style="42" customWidth="1"/>
    <col min="5962" max="5962" width="5.6640625" style="42" customWidth="1"/>
    <col min="5963" max="5963" width="5.44140625" style="42" customWidth="1"/>
    <col min="5964" max="6148" width="9.109375" style="42"/>
    <col min="6149" max="6149" width="44.5546875" style="42" customWidth="1"/>
    <col min="6150" max="6150" width="13.33203125" style="42" customWidth="1"/>
    <col min="6151" max="6151" width="10.109375" style="42" customWidth="1"/>
    <col min="6152" max="6152" width="13.6640625" style="42" customWidth="1"/>
    <col min="6153" max="6153" width="10.44140625" style="42" customWidth="1"/>
    <col min="6154" max="6154" width="9.44140625" style="42" bestFit="1" customWidth="1"/>
    <col min="6155" max="6155" width="7.44140625" style="42" bestFit="1" customWidth="1"/>
    <col min="6156" max="6156" width="14.33203125" style="42" bestFit="1" customWidth="1"/>
    <col min="6157" max="6157" width="12.5546875" style="42" bestFit="1" customWidth="1"/>
    <col min="6158" max="6158" width="9.44140625" style="42" customWidth="1"/>
    <col min="6159" max="6159" width="10.44140625" style="42" customWidth="1"/>
    <col min="6160" max="6160" width="11.109375" style="42" bestFit="1" customWidth="1"/>
    <col min="6161" max="6161" width="9.88671875" style="42" bestFit="1" customWidth="1"/>
    <col min="6162" max="6162" width="11.44140625" style="42" bestFit="1" customWidth="1"/>
    <col min="6163" max="6163" width="10.88671875" style="42" customWidth="1"/>
    <col min="6164" max="6164" width="8.109375" style="42" customWidth="1"/>
    <col min="6165" max="6165" width="10.33203125" style="42" customWidth="1"/>
    <col min="6166" max="6166" width="11" style="42" customWidth="1"/>
    <col min="6167" max="6167" width="11.6640625" style="42" customWidth="1"/>
    <col min="6168" max="6168" width="8" style="42" customWidth="1"/>
    <col min="6169" max="6169" width="8.33203125" style="42" customWidth="1"/>
    <col min="6170" max="6171" width="13.44140625" style="42" customWidth="1"/>
    <col min="6172" max="6172" width="13.6640625" style="42" customWidth="1"/>
    <col min="6173" max="6173" width="13.44140625" style="42" customWidth="1"/>
    <col min="6174" max="6174" width="11.44140625" style="42" customWidth="1"/>
    <col min="6175" max="6175" width="10.6640625" style="42" customWidth="1"/>
    <col min="6176" max="6176" width="11.109375" style="42" customWidth="1"/>
    <col min="6177" max="6177" width="9.88671875" style="42" customWidth="1"/>
    <col min="6178" max="6178" width="10.33203125" style="42" customWidth="1"/>
    <col min="6179" max="6179" width="9.88671875" style="42" customWidth="1"/>
    <col min="6180" max="6180" width="11.5546875" style="42" customWidth="1"/>
    <col min="6181" max="6181" width="12.33203125" style="42" customWidth="1"/>
    <col min="6182" max="6182" width="7.44140625" style="42" customWidth="1"/>
    <col min="6183" max="6183" width="10" style="42" customWidth="1"/>
    <col min="6184" max="6184" width="11.44140625" style="42" customWidth="1"/>
    <col min="6185" max="6185" width="8.5546875" style="42" customWidth="1"/>
    <col min="6186" max="6186" width="13.109375" style="42" customWidth="1"/>
    <col min="6187" max="6187" width="7.109375" style="42" customWidth="1"/>
    <col min="6188" max="6188" width="9" style="42" customWidth="1"/>
    <col min="6189" max="6189" width="11.33203125" style="42" customWidth="1"/>
    <col min="6190" max="6191" width="9.109375" style="42"/>
    <col min="6192" max="6192" width="7.44140625" style="42" customWidth="1"/>
    <col min="6193" max="6193" width="9.109375" style="42"/>
    <col min="6194" max="6194" width="13.33203125" style="42" customWidth="1"/>
    <col min="6195" max="6195" width="15" style="42" customWidth="1"/>
    <col min="6196" max="6196" width="10.44140625" style="42" customWidth="1"/>
    <col min="6197" max="6197" width="11.5546875" style="42" customWidth="1"/>
    <col min="6198" max="6216" width="9.109375" style="42"/>
    <col min="6217" max="6217" width="7.109375" style="42" customWidth="1"/>
    <col min="6218" max="6218" width="5.6640625" style="42" customWidth="1"/>
    <col min="6219" max="6219" width="5.44140625" style="42" customWidth="1"/>
    <col min="6220" max="6404" width="9.109375" style="42"/>
    <col min="6405" max="6405" width="44.5546875" style="42" customWidth="1"/>
    <col min="6406" max="6406" width="13.33203125" style="42" customWidth="1"/>
    <col min="6407" max="6407" width="10.109375" style="42" customWidth="1"/>
    <col min="6408" max="6408" width="13.6640625" style="42" customWidth="1"/>
    <col min="6409" max="6409" width="10.44140625" style="42" customWidth="1"/>
    <col min="6410" max="6410" width="9.44140625" style="42" bestFit="1" customWidth="1"/>
    <col min="6411" max="6411" width="7.44140625" style="42" bestFit="1" customWidth="1"/>
    <col min="6412" max="6412" width="14.33203125" style="42" bestFit="1" customWidth="1"/>
    <col min="6413" max="6413" width="12.5546875" style="42" bestFit="1" customWidth="1"/>
    <col min="6414" max="6414" width="9.44140625" style="42" customWidth="1"/>
    <col min="6415" max="6415" width="10.44140625" style="42" customWidth="1"/>
    <col min="6416" max="6416" width="11.109375" style="42" bestFit="1" customWidth="1"/>
    <col min="6417" max="6417" width="9.88671875" style="42" bestFit="1" customWidth="1"/>
    <col min="6418" max="6418" width="11.44140625" style="42" bestFit="1" customWidth="1"/>
    <col min="6419" max="6419" width="10.88671875" style="42" customWidth="1"/>
    <col min="6420" max="6420" width="8.109375" style="42" customWidth="1"/>
    <col min="6421" max="6421" width="10.33203125" style="42" customWidth="1"/>
    <col min="6422" max="6422" width="11" style="42" customWidth="1"/>
    <col min="6423" max="6423" width="11.6640625" style="42" customWidth="1"/>
    <col min="6424" max="6424" width="8" style="42" customWidth="1"/>
    <col min="6425" max="6425" width="8.33203125" style="42" customWidth="1"/>
    <col min="6426" max="6427" width="13.44140625" style="42" customWidth="1"/>
    <col min="6428" max="6428" width="13.6640625" style="42" customWidth="1"/>
    <col min="6429" max="6429" width="13.44140625" style="42" customWidth="1"/>
    <col min="6430" max="6430" width="11.44140625" style="42" customWidth="1"/>
    <col min="6431" max="6431" width="10.6640625" style="42" customWidth="1"/>
    <col min="6432" max="6432" width="11.109375" style="42" customWidth="1"/>
    <col min="6433" max="6433" width="9.88671875" style="42" customWidth="1"/>
    <col min="6434" max="6434" width="10.33203125" style="42" customWidth="1"/>
    <col min="6435" max="6435" width="9.88671875" style="42" customWidth="1"/>
    <col min="6436" max="6436" width="11.5546875" style="42" customWidth="1"/>
    <col min="6437" max="6437" width="12.33203125" style="42" customWidth="1"/>
    <col min="6438" max="6438" width="7.44140625" style="42" customWidth="1"/>
    <col min="6439" max="6439" width="10" style="42" customWidth="1"/>
    <col min="6440" max="6440" width="11.44140625" style="42" customWidth="1"/>
    <col min="6441" max="6441" width="8.5546875" style="42" customWidth="1"/>
    <col min="6442" max="6442" width="13.109375" style="42" customWidth="1"/>
    <col min="6443" max="6443" width="7.109375" style="42" customWidth="1"/>
    <col min="6444" max="6444" width="9" style="42" customWidth="1"/>
    <col min="6445" max="6445" width="11.33203125" style="42" customWidth="1"/>
    <col min="6446" max="6447" width="9.109375" style="42"/>
    <col min="6448" max="6448" width="7.44140625" style="42" customWidth="1"/>
    <col min="6449" max="6449" width="9.109375" style="42"/>
    <col min="6450" max="6450" width="13.33203125" style="42" customWidth="1"/>
    <col min="6451" max="6451" width="15" style="42" customWidth="1"/>
    <col min="6452" max="6452" width="10.44140625" style="42" customWidth="1"/>
    <col min="6453" max="6453" width="11.5546875" style="42" customWidth="1"/>
    <col min="6454" max="6472" width="9.109375" style="42"/>
    <col min="6473" max="6473" width="7.109375" style="42" customWidth="1"/>
    <col min="6474" max="6474" width="5.6640625" style="42" customWidth="1"/>
    <col min="6475" max="6475" width="5.44140625" style="42" customWidth="1"/>
    <col min="6476" max="6660" width="9.109375" style="42"/>
    <col min="6661" max="6661" width="44.5546875" style="42" customWidth="1"/>
    <col min="6662" max="6662" width="13.33203125" style="42" customWidth="1"/>
    <col min="6663" max="6663" width="10.109375" style="42" customWidth="1"/>
    <col min="6664" max="6664" width="13.6640625" style="42" customWidth="1"/>
    <col min="6665" max="6665" width="10.44140625" style="42" customWidth="1"/>
    <col min="6666" max="6666" width="9.44140625" style="42" bestFit="1" customWidth="1"/>
    <col min="6667" max="6667" width="7.44140625" style="42" bestFit="1" customWidth="1"/>
    <col min="6668" max="6668" width="14.33203125" style="42" bestFit="1" customWidth="1"/>
    <col min="6669" max="6669" width="12.5546875" style="42" bestFit="1" customWidth="1"/>
    <col min="6670" max="6670" width="9.44140625" style="42" customWidth="1"/>
    <col min="6671" max="6671" width="10.44140625" style="42" customWidth="1"/>
    <col min="6672" max="6672" width="11.109375" style="42" bestFit="1" customWidth="1"/>
    <col min="6673" max="6673" width="9.88671875" style="42" bestFit="1" customWidth="1"/>
    <col min="6674" max="6674" width="11.44140625" style="42" bestFit="1" customWidth="1"/>
    <col min="6675" max="6675" width="10.88671875" style="42" customWidth="1"/>
    <col min="6676" max="6676" width="8.109375" style="42" customWidth="1"/>
    <col min="6677" max="6677" width="10.33203125" style="42" customWidth="1"/>
    <col min="6678" max="6678" width="11" style="42" customWidth="1"/>
    <col min="6679" max="6679" width="11.6640625" style="42" customWidth="1"/>
    <col min="6680" max="6680" width="8" style="42" customWidth="1"/>
    <col min="6681" max="6681" width="8.33203125" style="42" customWidth="1"/>
    <col min="6682" max="6683" width="13.44140625" style="42" customWidth="1"/>
    <col min="6684" max="6684" width="13.6640625" style="42" customWidth="1"/>
    <col min="6685" max="6685" width="13.44140625" style="42" customWidth="1"/>
    <col min="6686" max="6686" width="11.44140625" style="42" customWidth="1"/>
    <col min="6687" max="6687" width="10.6640625" style="42" customWidth="1"/>
    <col min="6688" max="6688" width="11.109375" style="42" customWidth="1"/>
    <col min="6689" max="6689" width="9.88671875" style="42" customWidth="1"/>
    <col min="6690" max="6690" width="10.33203125" style="42" customWidth="1"/>
    <col min="6691" max="6691" width="9.88671875" style="42" customWidth="1"/>
    <col min="6692" max="6692" width="11.5546875" style="42" customWidth="1"/>
    <col min="6693" max="6693" width="12.33203125" style="42" customWidth="1"/>
    <col min="6694" max="6694" width="7.44140625" style="42" customWidth="1"/>
    <col min="6695" max="6695" width="10" style="42" customWidth="1"/>
    <col min="6696" max="6696" width="11.44140625" style="42" customWidth="1"/>
    <col min="6697" max="6697" width="8.5546875" style="42" customWidth="1"/>
    <col min="6698" max="6698" width="13.109375" style="42" customWidth="1"/>
    <col min="6699" max="6699" width="7.109375" style="42" customWidth="1"/>
    <col min="6700" max="6700" width="9" style="42" customWidth="1"/>
    <col min="6701" max="6701" width="11.33203125" style="42" customWidth="1"/>
    <col min="6702" max="6703" width="9.109375" style="42"/>
    <col min="6704" max="6704" width="7.44140625" style="42" customWidth="1"/>
    <col min="6705" max="6705" width="9.109375" style="42"/>
    <col min="6706" max="6706" width="13.33203125" style="42" customWidth="1"/>
    <col min="6707" max="6707" width="15" style="42" customWidth="1"/>
    <col min="6708" max="6708" width="10.44140625" style="42" customWidth="1"/>
    <col min="6709" max="6709" width="11.5546875" style="42" customWidth="1"/>
    <col min="6710" max="6728" width="9.109375" style="42"/>
    <col min="6729" max="6729" width="7.109375" style="42" customWidth="1"/>
    <col min="6730" max="6730" width="5.6640625" style="42" customWidth="1"/>
    <col min="6731" max="6731" width="5.44140625" style="42" customWidth="1"/>
    <col min="6732" max="6916" width="9.109375" style="42"/>
    <col min="6917" max="6917" width="44.5546875" style="42" customWidth="1"/>
    <col min="6918" max="6918" width="13.33203125" style="42" customWidth="1"/>
    <col min="6919" max="6919" width="10.109375" style="42" customWidth="1"/>
    <col min="6920" max="6920" width="13.6640625" style="42" customWidth="1"/>
    <col min="6921" max="6921" width="10.44140625" style="42" customWidth="1"/>
    <col min="6922" max="6922" width="9.44140625" style="42" bestFit="1" customWidth="1"/>
    <col min="6923" max="6923" width="7.44140625" style="42" bestFit="1" customWidth="1"/>
    <col min="6924" max="6924" width="14.33203125" style="42" bestFit="1" customWidth="1"/>
    <col min="6925" max="6925" width="12.5546875" style="42" bestFit="1" customWidth="1"/>
    <col min="6926" max="6926" width="9.44140625" style="42" customWidth="1"/>
    <col min="6927" max="6927" width="10.44140625" style="42" customWidth="1"/>
    <col min="6928" max="6928" width="11.109375" style="42" bestFit="1" customWidth="1"/>
    <col min="6929" max="6929" width="9.88671875" style="42" bestFit="1" customWidth="1"/>
    <col min="6930" max="6930" width="11.44140625" style="42" bestFit="1" customWidth="1"/>
    <col min="6931" max="6931" width="10.88671875" style="42" customWidth="1"/>
    <col min="6932" max="6932" width="8.109375" style="42" customWidth="1"/>
    <col min="6933" max="6933" width="10.33203125" style="42" customWidth="1"/>
    <col min="6934" max="6934" width="11" style="42" customWidth="1"/>
    <col min="6935" max="6935" width="11.6640625" style="42" customWidth="1"/>
    <col min="6936" max="6936" width="8" style="42" customWidth="1"/>
    <col min="6937" max="6937" width="8.33203125" style="42" customWidth="1"/>
    <col min="6938" max="6939" width="13.44140625" style="42" customWidth="1"/>
    <col min="6940" max="6940" width="13.6640625" style="42" customWidth="1"/>
    <col min="6941" max="6941" width="13.44140625" style="42" customWidth="1"/>
    <col min="6942" max="6942" width="11.44140625" style="42" customWidth="1"/>
    <col min="6943" max="6943" width="10.6640625" style="42" customWidth="1"/>
    <col min="6944" max="6944" width="11.109375" style="42" customWidth="1"/>
    <col min="6945" max="6945" width="9.88671875" style="42" customWidth="1"/>
    <col min="6946" max="6946" width="10.33203125" style="42" customWidth="1"/>
    <col min="6947" max="6947" width="9.88671875" style="42" customWidth="1"/>
    <col min="6948" max="6948" width="11.5546875" style="42" customWidth="1"/>
    <col min="6949" max="6949" width="12.33203125" style="42" customWidth="1"/>
    <col min="6950" max="6950" width="7.44140625" style="42" customWidth="1"/>
    <col min="6951" max="6951" width="10" style="42" customWidth="1"/>
    <col min="6952" max="6952" width="11.44140625" style="42" customWidth="1"/>
    <col min="6953" max="6953" width="8.5546875" style="42" customWidth="1"/>
    <col min="6954" max="6954" width="13.109375" style="42" customWidth="1"/>
    <col min="6955" max="6955" width="7.109375" style="42" customWidth="1"/>
    <col min="6956" max="6956" width="9" style="42" customWidth="1"/>
    <col min="6957" max="6957" width="11.33203125" style="42" customWidth="1"/>
    <col min="6958" max="6959" width="9.109375" style="42"/>
    <col min="6960" max="6960" width="7.44140625" style="42" customWidth="1"/>
    <col min="6961" max="6961" width="9.109375" style="42"/>
    <col min="6962" max="6962" width="13.33203125" style="42" customWidth="1"/>
    <col min="6963" max="6963" width="15" style="42" customWidth="1"/>
    <col min="6964" max="6964" width="10.44140625" style="42" customWidth="1"/>
    <col min="6965" max="6965" width="11.5546875" style="42" customWidth="1"/>
    <col min="6966" max="6984" width="9.109375" style="42"/>
    <col min="6985" max="6985" width="7.109375" style="42" customWidth="1"/>
    <col min="6986" max="6986" width="5.6640625" style="42" customWidth="1"/>
    <col min="6987" max="6987" width="5.44140625" style="42" customWidth="1"/>
    <col min="6988" max="7172" width="9.109375" style="42"/>
    <col min="7173" max="7173" width="44.5546875" style="42" customWidth="1"/>
    <col min="7174" max="7174" width="13.33203125" style="42" customWidth="1"/>
    <col min="7175" max="7175" width="10.109375" style="42" customWidth="1"/>
    <col min="7176" max="7176" width="13.6640625" style="42" customWidth="1"/>
    <col min="7177" max="7177" width="10.44140625" style="42" customWidth="1"/>
    <col min="7178" max="7178" width="9.44140625" style="42" bestFit="1" customWidth="1"/>
    <col min="7179" max="7179" width="7.44140625" style="42" bestFit="1" customWidth="1"/>
    <col min="7180" max="7180" width="14.33203125" style="42" bestFit="1" customWidth="1"/>
    <col min="7181" max="7181" width="12.5546875" style="42" bestFit="1" customWidth="1"/>
    <col min="7182" max="7182" width="9.44140625" style="42" customWidth="1"/>
    <col min="7183" max="7183" width="10.44140625" style="42" customWidth="1"/>
    <col min="7184" max="7184" width="11.109375" style="42" bestFit="1" customWidth="1"/>
    <col min="7185" max="7185" width="9.88671875" style="42" bestFit="1" customWidth="1"/>
    <col min="7186" max="7186" width="11.44140625" style="42" bestFit="1" customWidth="1"/>
    <col min="7187" max="7187" width="10.88671875" style="42" customWidth="1"/>
    <col min="7188" max="7188" width="8.109375" style="42" customWidth="1"/>
    <col min="7189" max="7189" width="10.33203125" style="42" customWidth="1"/>
    <col min="7190" max="7190" width="11" style="42" customWidth="1"/>
    <col min="7191" max="7191" width="11.6640625" style="42" customWidth="1"/>
    <col min="7192" max="7192" width="8" style="42" customWidth="1"/>
    <col min="7193" max="7193" width="8.33203125" style="42" customWidth="1"/>
    <col min="7194" max="7195" width="13.44140625" style="42" customWidth="1"/>
    <col min="7196" max="7196" width="13.6640625" style="42" customWidth="1"/>
    <col min="7197" max="7197" width="13.44140625" style="42" customWidth="1"/>
    <col min="7198" max="7198" width="11.44140625" style="42" customWidth="1"/>
    <col min="7199" max="7199" width="10.6640625" style="42" customWidth="1"/>
    <col min="7200" max="7200" width="11.109375" style="42" customWidth="1"/>
    <col min="7201" max="7201" width="9.88671875" style="42" customWidth="1"/>
    <col min="7202" max="7202" width="10.33203125" style="42" customWidth="1"/>
    <col min="7203" max="7203" width="9.88671875" style="42" customWidth="1"/>
    <col min="7204" max="7204" width="11.5546875" style="42" customWidth="1"/>
    <col min="7205" max="7205" width="12.33203125" style="42" customWidth="1"/>
    <col min="7206" max="7206" width="7.44140625" style="42" customWidth="1"/>
    <col min="7207" max="7207" width="10" style="42" customWidth="1"/>
    <col min="7208" max="7208" width="11.44140625" style="42" customWidth="1"/>
    <col min="7209" max="7209" width="8.5546875" style="42" customWidth="1"/>
    <col min="7210" max="7210" width="13.109375" style="42" customWidth="1"/>
    <col min="7211" max="7211" width="7.109375" style="42" customWidth="1"/>
    <col min="7212" max="7212" width="9" style="42" customWidth="1"/>
    <col min="7213" max="7213" width="11.33203125" style="42" customWidth="1"/>
    <col min="7214" max="7215" width="9.109375" style="42"/>
    <col min="7216" max="7216" width="7.44140625" style="42" customWidth="1"/>
    <col min="7217" max="7217" width="9.109375" style="42"/>
    <col min="7218" max="7218" width="13.33203125" style="42" customWidth="1"/>
    <col min="7219" max="7219" width="15" style="42" customWidth="1"/>
    <col min="7220" max="7220" width="10.44140625" style="42" customWidth="1"/>
    <col min="7221" max="7221" width="11.5546875" style="42" customWidth="1"/>
    <col min="7222" max="7240" width="9.109375" style="42"/>
    <col min="7241" max="7241" width="7.109375" style="42" customWidth="1"/>
    <col min="7242" max="7242" width="5.6640625" style="42" customWidth="1"/>
    <col min="7243" max="7243" width="5.44140625" style="42" customWidth="1"/>
    <col min="7244" max="7428" width="9.109375" style="42"/>
    <col min="7429" max="7429" width="44.5546875" style="42" customWidth="1"/>
    <col min="7430" max="7430" width="13.33203125" style="42" customWidth="1"/>
    <col min="7431" max="7431" width="10.109375" style="42" customWidth="1"/>
    <col min="7432" max="7432" width="13.6640625" style="42" customWidth="1"/>
    <col min="7433" max="7433" width="10.44140625" style="42" customWidth="1"/>
    <col min="7434" max="7434" width="9.44140625" style="42" bestFit="1" customWidth="1"/>
    <col min="7435" max="7435" width="7.44140625" style="42" bestFit="1" customWidth="1"/>
    <col min="7436" max="7436" width="14.33203125" style="42" bestFit="1" customWidth="1"/>
    <col min="7437" max="7437" width="12.5546875" style="42" bestFit="1" customWidth="1"/>
    <col min="7438" max="7438" width="9.44140625" style="42" customWidth="1"/>
    <col min="7439" max="7439" width="10.44140625" style="42" customWidth="1"/>
    <col min="7440" max="7440" width="11.109375" style="42" bestFit="1" customWidth="1"/>
    <col min="7441" max="7441" width="9.88671875" style="42" bestFit="1" customWidth="1"/>
    <col min="7442" max="7442" width="11.44140625" style="42" bestFit="1" customWidth="1"/>
    <col min="7443" max="7443" width="10.88671875" style="42" customWidth="1"/>
    <col min="7444" max="7444" width="8.109375" style="42" customWidth="1"/>
    <col min="7445" max="7445" width="10.33203125" style="42" customWidth="1"/>
    <col min="7446" max="7446" width="11" style="42" customWidth="1"/>
    <col min="7447" max="7447" width="11.6640625" style="42" customWidth="1"/>
    <col min="7448" max="7448" width="8" style="42" customWidth="1"/>
    <col min="7449" max="7449" width="8.33203125" style="42" customWidth="1"/>
    <col min="7450" max="7451" width="13.44140625" style="42" customWidth="1"/>
    <col min="7452" max="7452" width="13.6640625" style="42" customWidth="1"/>
    <col min="7453" max="7453" width="13.44140625" style="42" customWidth="1"/>
    <col min="7454" max="7454" width="11.44140625" style="42" customWidth="1"/>
    <col min="7455" max="7455" width="10.6640625" style="42" customWidth="1"/>
    <col min="7456" max="7456" width="11.109375" style="42" customWidth="1"/>
    <col min="7457" max="7457" width="9.88671875" style="42" customWidth="1"/>
    <col min="7458" max="7458" width="10.33203125" style="42" customWidth="1"/>
    <col min="7459" max="7459" width="9.88671875" style="42" customWidth="1"/>
    <col min="7460" max="7460" width="11.5546875" style="42" customWidth="1"/>
    <col min="7461" max="7461" width="12.33203125" style="42" customWidth="1"/>
    <col min="7462" max="7462" width="7.44140625" style="42" customWidth="1"/>
    <col min="7463" max="7463" width="10" style="42" customWidth="1"/>
    <col min="7464" max="7464" width="11.44140625" style="42" customWidth="1"/>
    <col min="7465" max="7465" width="8.5546875" style="42" customWidth="1"/>
    <col min="7466" max="7466" width="13.109375" style="42" customWidth="1"/>
    <col min="7467" max="7467" width="7.109375" style="42" customWidth="1"/>
    <col min="7468" max="7468" width="9" style="42" customWidth="1"/>
    <col min="7469" max="7469" width="11.33203125" style="42" customWidth="1"/>
    <col min="7470" max="7471" width="9.109375" style="42"/>
    <col min="7472" max="7472" width="7.44140625" style="42" customWidth="1"/>
    <col min="7473" max="7473" width="9.109375" style="42"/>
    <col min="7474" max="7474" width="13.33203125" style="42" customWidth="1"/>
    <col min="7475" max="7475" width="15" style="42" customWidth="1"/>
    <col min="7476" max="7476" width="10.44140625" style="42" customWidth="1"/>
    <col min="7477" max="7477" width="11.5546875" style="42" customWidth="1"/>
    <col min="7478" max="7496" width="9.109375" style="42"/>
    <col min="7497" max="7497" width="7.109375" style="42" customWidth="1"/>
    <col min="7498" max="7498" width="5.6640625" style="42" customWidth="1"/>
    <col min="7499" max="7499" width="5.44140625" style="42" customWidth="1"/>
    <col min="7500" max="7684" width="9.109375" style="42"/>
    <col min="7685" max="7685" width="44.5546875" style="42" customWidth="1"/>
    <col min="7686" max="7686" width="13.33203125" style="42" customWidth="1"/>
    <col min="7687" max="7687" width="10.109375" style="42" customWidth="1"/>
    <col min="7688" max="7688" width="13.6640625" style="42" customWidth="1"/>
    <col min="7689" max="7689" width="10.44140625" style="42" customWidth="1"/>
    <col min="7690" max="7690" width="9.44140625" style="42" bestFit="1" customWidth="1"/>
    <col min="7691" max="7691" width="7.44140625" style="42" bestFit="1" customWidth="1"/>
    <col min="7692" max="7692" width="14.33203125" style="42" bestFit="1" customWidth="1"/>
    <col min="7693" max="7693" width="12.5546875" style="42" bestFit="1" customWidth="1"/>
    <col min="7694" max="7694" width="9.44140625" style="42" customWidth="1"/>
    <col min="7695" max="7695" width="10.44140625" style="42" customWidth="1"/>
    <col min="7696" max="7696" width="11.109375" style="42" bestFit="1" customWidth="1"/>
    <col min="7697" max="7697" width="9.88671875" style="42" bestFit="1" customWidth="1"/>
    <col min="7698" max="7698" width="11.44140625" style="42" bestFit="1" customWidth="1"/>
    <col min="7699" max="7699" width="10.88671875" style="42" customWidth="1"/>
    <col min="7700" max="7700" width="8.109375" style="42" customWidth="1"/>
    <col min="7701" max="7701" width="10.33203125" style="42" customWidth="1"/>
    <col min="7702" max="7702" width="11" style="42" customWidth="1"/>
    <col min="7703" max="7703" width="11.6640625" style="42" customWidth="1"/>
    <col min="7704" max="7704" width="8" style="42" customWidth="1"/>
    <col min="7705" max="7705" width="8.33203125" style="42" customWidth="1"/>
    <col min="7706" max="7707" width="13.44140625" style="42" customWidth="1"/>
    <col min="7708" max="7708" width="13.6640625" style="42" customWidth="1"/>
    <col min="7709" max="7709" width="13.44140625" style="42" customWidth="1"/>
    <col min="7710" max="7710" width="11.44140625" style="42" customWidth="1"/>
    <col min="7711" max="7711" width="10.6640625" style="42" customWidth="1"/>
    <col min="7712" max="7712" width="11.109375" style="42" customWidth="1"/>
    <col min="7713" max="7713" width="9.88671875" style="42" customWidth="1"/>
    <col min="7714" max="7714" width="10.33203125" style="42" customWidth="1"/>
    <col min="7715" max="7715" width="9.88671875" style="42" customWidth="1"/>
    <col min="7716" max="7716" width="11.5546875" style="42" customWidth="1"/>
    <col min="7717" max="7717" width="12.33203125" style="42" customWidth="1"/>
    <col min="7718" max="7718" width="7.44140625" style="42" customWidth="1"/>
    <col min="7719" max="7719" width="10" style="42" customWidth="1"/>
    <col min="7720" max="7720" width="11.44140625" style="42" customWidth="1"/>
    <col min="7721" max="7721" width="8.5546875" style="42" customWidth="1"/>
    <col min="7722" max="7722" width="13.109375" style="42" customWidth="1"/>
    <col min="7723" max="7723" width="7.109375" style="42" customWidth="1"/>
    <col min="7724" max="7724" width="9" style="42" customWidth="1"/>
    <col min="7725" max="7725" width="11.33203125" style="42" customWidth="1"/>
    <col min="7726" max="7727" width="9.109375" style="42"/>
    <col min="7728" max="7728" width="7.44140625" style="42" customWidth="1"/>
    <col min="7729" max="7729" width="9.109375" style="42"/>
    <col min="7730" max="7730" width="13.33203125" style="42" customWidth="1"/>
    <col min="7731" max="7731" width="15" style="42" customWidth="1"/>
    <col min="7732" max="7732" width="10.44140625" style="42" customWidth="1"/>
    <col min="7733" max="7733" width="11.5546875" style="42" customWidth="1"/>
    <col min="7734" max="7752" width="9.109375" style="42"/>
    <col min="7753" max="7753" width="7.109375" style="42" customWidth="1"/>
    <col min="7754" max="7754" width="5.6640625" style="42" customWidth="1"/>
    <col min="7755" max="7755" width="5.44140625" style="42" customWidth="1"/>
    <col min="7756" max="7940" width="9.109375" style="42"/>
    <col min="7941" max="7941" width="44.5546875" style="42" customWidth="1"/>
    <col min="7942" max="7942" width="13.33203125" style="42" customWidth="1"/>
    <col min="7943" max="7943" width="10.109375" style="42" customWidth="1"/>
    <col min="7944" max="7944" width="13.6640625" style="42" customWidth="1"/>
    <col min="7945" max="7945" width="10.44140625" style="42" customWidth="1"/>
    <col min="7946" max="7946" width="9.44140625" style="42" bestFit="1" customWidth="1"/>
    <col min="7947" max="7947" width="7.44140625" style="42" bestFit="1" customWidth="1"/>
    <col min="7948" max="7948" width="14.33203125" style="42" bestFit="1" customWidth="1"/>
    <col min="7949" max="7949" width="12.5546875" style="42" bestFit="1" customWidth="1"/>
    <col min="7950" max="7950" width="9.44140625" style="42" customWidth="1"/>
    <col min="7951" max="7951" width="10.44140625" style="42" customWidth="1"/>
    <col min="7952" max="7952" width="11.109375" style="42" bestFit="1" customWidth="1"/>
    <col min="7953" max="7953" width="9.88671875" style="42" bestFit="1" customWidth="1"/>
    <col min="7954" max="7954" width="11.44140625" style="42" bestFit="1" customWidth="1"/>
    <col min="7955" max="7955" width="10.88671875" style="42" customWidth="1"/>
    <col min="7956" max="7956" width="8.109375" style="42" customWidth="1"/>
    <col min="7957" max="7957" width="10.33203125" style="42" customWidth="1"/>
    <col min="7958" max="7958" width="11" style="42" customWidth="1"/>
    <col min="7959" max="7959" width="11.6640625" style="42" customWidth="1"/>
    <col min="7960" max="7960" width="8" style="42" customWidth="1"/>
    <col min="7961" max="7961" width="8.33203125" style="42" customWidth="1"/>
    <col min="7962" max="7963" width="13.44140625" style="42" customWidth="1"/>
    <col min="7964" max="7964" width="13.6640625" style="42" customWidth="1"/>
    <col min="7965" max="7965" width="13.44140625" style="42" customWidth="1"/>
    <col min="7966" max="7966" width="11.44140625" style="42" customWidth="1"/>
    <col min="7967" max="7967" width="10.6640625" style="42" customWidth="1"/>
    <col min="7968" max="7968" width="11.109375" style="42" customWidth="1"/>
    <col min="7969" max="7969" width="9.88671875" style="42" customWidth="1"/>
    <col min="7970" max="7970" width="10.33203125" style="42" customWidth="1"/>
    <col min="7971" max="7971" width="9.88671875" style="42" customWidth="1"/>
    <col min="7972" max="7972" width="11.5546875" style="42" customWidth="1"/>
    <col min="7973" max="7973" width="12.33203125" style="42" customWidth="1"/>
    <col min="7974" max="7974" width="7.44140625" style="42" customWidth="1"/>
    <col min="7975" max="7975" width="10" style="42" customWidth="1"/>
    <col min="7976" max="7976" width="11.44140625" style="42" customWidth="1"/>
    <col min="7977" max="7977" width="8.5546875" style="42" customWidth="1"/>
    <col min="7978" max="7978" width="13.109375" style="42" customWidth="1"/>
    <col min="7979" max="7979" width="7.109375" style="42" customWidth="1"/>
    <col min="7980" max="7980" width="9" style="42" customWidth="1"/>
    <col min="7981" max="7981" width="11.33203125" style="42" customWidth="1"/>
    <col min="7982" max="7983" width="9.109375" style="42"/>
    <col min="7984" max="7984" width="7.44140625" style="42" customWidth="1"/>
    <col min="7985" max="7985" width="9.109375" style="42"/>
    <col min="7986" max="7986" width="13.33203125" style="42" customWidth="1"/>
    <col min="7987" max="7987" width="15" style="42" customWidth="1"/>
    <col min="7988" max="7988" width="10.44140625" style="42" customWidth="1"/>
    <col min="7989" max="7989" width="11.5546875" style="42" customWidth="1"/>
    <col min="7990" max="8008" width="9.109375" style="42"/>
    <col min="8009" max="8009" width="7.109375" style="42" customWidth="1"/>
    <col min="8010" max="8010" width="5.6640625" style="42" customWidth="1"/>
    <col min="8011" max="8011" width="5.44140625" style="42" customWidth="1"/>
    <col min="8012" max="8196" width="9.109375" style="42"/>
    <col min="8197" max="8197" width="44.5546875" style="42" customWidth="1"/>
    <col min="8198" max="8198" width="13.33203125" style="42" customWidth="1"/>
    <col min="8199" max="8199" width="10.109375" style="42" customWidth="1"/>
    <col min="8200" max="8200" width="13.6640625" style="42" customWidth="1"/>
    <col min="8201" max="8201" width="10.44140625" style="42" customWidth="1"/>
    <col min="8202" max="8202" width="9.44140625" style="42" bestFit="1" customWidth="1"/>
    <col min="8203" max="8203" width="7.44140625" style="42" bestFit="1" customWidth="1"/>
    <col min="8204" max="8204" width="14.33203125" style="42" bestFit="1" customWidth="1"/>
    <col min="8205" max="8205" width="12.5546875" style="42" bestFit="1" customWidth="1"/>
    <col min="8206" max="8206" width="9.44140625" style="42" customWidth="1"/>
    <col min="8207" max="8207" width="10.44140625" style="42" customWidth="1"/>
    <col min="8208" max="8208" width="11.109375" style="42" bestFit="1" customWidth="1"/>
    <col min="8209" max="8209" width="9.88671875" style="42" bestFit="1" customWidth="1"/>
    <col min="8210" max="8210" width="11.44140625" style="42" bestFit="1" customWidth="1"/>
    <col min="8211" max="8211" width="10.88671875" style="42" customWidth="1"/>
    <col min="8212" max="8212" width="8.109375" style="42" customWidth="1"/>
    <col min="8213" max="8213" width="10.33203125" style="42" customWidth="1"/>
    <col min="8214" max="8214" width="11" style="42" customWidth="1"/>
    <col min="8215" max="8215" width="11.6640625" style="42" customWidth="1"/>
    <col min="8216" max="8216" width="8" style="42" customWidth="1"/>
    <col min="8217" max="8217" width="8.33203125" style="42" customWidth="1"/>
    <col min="8218" max="8219" width="13.44140625" style="42" customWidth="1"/>
    <col min="8220" max="8220" width="13.6640625" style="42" customWidth="1"/>
    <col min="8221" max="8221" width="13.44140625" style="42" customWidth="1"/>
    <col min="8222" max="8222" width="11.44140625" style="42" customWidth="1"/>
    <col min="8223" max="8223" width="10.6640625" style="42" customWidth="1"/>
    <col min="8224" max="8224" width="11.109375" style="42" customWidth="1"/>
    <col min="8225" max="8225" width="9.88671875" style="42" customWidth="1"/>
    <col min="8226" max="8226" width="10.33203125" style="42" customWidth="1"/>
    <col min="8227" max="8227" width="9.88671875" style="42" customWidth="1"/>
    <col min="8228" max="8228" width="11.5546875" style="42" customWidth="1"/>
    <col min="8229" max="8229" width="12.33203125" style="42" customWidth="1"/>
    <col min="8230" max="8230" width="7.44140625" style="42" customWidth="1"/>
    <col min="8231" max="8231" width="10" style="42" customWidth="1"/>
    <col min="8232" max="8232" width="11.44140625" style="42" customWidth="1"/>
    <col min="8233" max="8233" width="8.5546875" style="42" customWidth="1"/>
    <col min="8234" max="8234" width="13.109375" style="42" customWidth="1"/>
    <col min="8235" max="8235" width="7.109375" style="42" customWidth="1"/>
    <col min="8236" max="8236" width="9" style="42" customWidth="1"/>
    <col min="8237" max="8237" width="11.33203125" style="42" customWidth="1"/>
    <col min="8238" max="8239" width="9.109375" style="42"/>
    <col min="8240" max="8240" width="7.44140625" style="42" customWidth="1"/>
    <col min="8241" max="8241" width="9.109375" style="42"/>
    <col min="8242" max="8242" width="13.33203125" style="42" customWidth="1"/>
    <col min="8243" max="8243" width="15" style="42" customWidth="1"/>
    <col min="8244" max="8244" width="10.44140625" style="42" customWidth="1"/>
    <col min="8245" max="8245" width="11.5546875" style="42" customWidth="1"/>
    <col min="8246" max="8264" width="9.109375" style="42"/>
    <col min="8265" max="8265" width="7.109375" style="42" customWidth="1"/>
    <col min="8266" max="8266" width="5.6640625" style="42" customWidth="1"/>
    <col min="8267" max="8267" width="5.44140625" style="42" customWidth="1"/>
    <col min="8268" max="8452" width="9.109375" style="42"/>
    <col min="8453" max="8453" width="44.5546875" style="42" customWidth="1"/>
    <col min="8454" max="8454" width="13.33203125" style="42" customWidth="1"/>
    <col min="8455" max="8455" width="10.109375" style="42" customWidth="1"/>
    <col min="8456" max="8456" width="13.6640625" style="42" customWidth="1"/>
    <col min="8457" max="8457" width="10.44140625" style="42" customWidth="1"/>
    <col min="8458" max="8458" width="9.44140625" style="42" bestFit="1" customWidth="1"/>
    <col min="8459" max="8459" width="7.44140625" style="42" bestFit="1" customWidth="1"/>
    <col min="8460" max="8460" width="14.33203125" style="42" bestFit="1" customWidth="1"/>
    <col min="8461" max="8461" width="12.5546875" style="42" bestFit="1" customWidth="1"/>
    <col min="8462" max="8462" width="9.44140625" style="42" customWidth="1"/>
    <col min="8463" max="8463" width="10.44140625" style="42" customWidth="1"/>
    <col min="8464" max="8464" width="11.109375" style="42" bestFit="1" customWidth="1"/>
    <col min="8465" max="8465" width="9.88671875" style="42" bestFit="1" customWidth="1"/>
    <col min="8466" max="8466" width="11.44140625" style="42" bestFit="1" customWidth="1"/>
    <col min="8467" max="8467" width="10.88671875" style="42" customWidth="1"/>
    <col min="8468" max="8468" width="8.109375" style="42" customWidth="1"/>
    <col min="8469" max="8469" width="10.33203125" style="42" customWidth="1"/>
    <col min="8470" max="8470" width="11" style="42" customWidth="1"/>
    <col min="8471" max="8471" width="11.6640625" style="42" customWidth="1"/>
    <col min="8472" max="8472" width="8" style="42" customWidth="1"/>
    <col min="8473" max="8473" width="8.33203125" style="42" customWidth="1"/>
    <col min="8474" max="8475" width="13.44140625" style="42" customWidth="1"/>
    <col min="8476" max="8476" width="13.6640625" style="42" customWidth="1"/>
    <col min="8477" max="8477" width="13.44140625" style="42" customWidth="1"/>
    <col min="8478" max="8478" width="11.44140625" style="42" customWidth="1"/>
    <col min="8479" max="8479" width="10.6640625" style="42" customWidth="1"/>
    <col min="8480" max="8480" width="11.109375" style="42" customWidth="1"/>
    <col min="8481" max="8481" width="9.88671875" style="42" customWidth="1"/>
    <col min="8482" max="8482" width="10.33203125" style="42" customWidth="1"/>
    <col min="8483" max="8483" width="9.88671875" style="42" customWidth="1"/>
    <col min="8484" max="8484" width="11.5546875" style="42" customWidth="1"/>
    <col min="8485" max="8485" width="12.33203125" style="42" customWidth="1"/>
    <col min="8486" max="8486" width="7.44140625" style="42" customWidth="1"/>
    <col min="8487" max="8487" width="10" style="42" customWidth="1"/>
    <col min="8488" max="8488" width="11.44140625" style="42" customWidth="1"/>
    <col min="8489" max="8489" width="8.5546875" style="42" customWidth="1"/>
    <col min="8490" max="8490" width="13.109375" style="42" customWidth="1"/>
    <col min="8491" max="8491" width="7.109375" style="42" customWidth="1"/>
    <col min="8492" max="8492" width="9" style="42" customWidth="1"/>
    <col min="8493" max="8493" width="11.33203125" style="42" customWidth="1"/>
    <col min="8494" max="8495" width="9.109375" style="42"/>
    <col min="8496" max="8496" width="7.44140625" style="42" customWidth="1"/>
    <col min="8497" max="8497" width="9.109375" style="42"/>
    <col min="8498" max="8498" width="13.33203125" style="42" customWidth="1"/>
    <col min="8499" max="8499" width="15" style="42" customWidth="1"/>
    <col min="8500" max="8500" width="10.44140625" style="42" customWidth="1"/>
    <col min="8501" max="8501" width="11.5546875" style="42" customWidth="1"/>
    <col min="8502" max="8520" width="9.109375" style="42"/>
    <col min="8521" max="8521" width="7.109375" style="42" customWidth="1"/>
    <col min="8522" max="8522" width="5.6640625" style="42" customWidth="1"/>
    <col min="8523" max="8523" width="5.44140625" style="42" customWidth="1"/>
    <col min="8524" max="8708" width="9.109375" style="42"/>
    <col min="8709" max="8709" width="44.5546875" style="42" customWidth="1"/>
    <col min="8710" max="8710" width="13.33203125" style="42" customWidth="1"/>
    <col min="8711" max="8711" width="10.109375" style="42" customWidth="1"/>
    <col min="8712" max="8712" width="13.6640625" style="42" customWidth="1"/>
    <col min="8713" max="8713" width="10.44140625" style="42" customWidth="1"/>
    <col min="8714" max="8714" width="9.44140625" style="42" bestFit="1" customWidth="1"/>
    <col min="8715" max="8715" width="7.44140625" style="42" bestFit="1" customWidth="1"/>
    <col min="8716" max="8716" width="14.33203125" style="42" bestFit="1" customWidth="1"/>
    <col min="8717" max="8717" width="12.5546875" style="42" bestFit="1" customWidth="1"/>
    <col min="8718" max="8718" width="9.44140625" style="42" customWidth="1"/>
    <col min="8719" max="8719" width="10.44140625" style="42" customWidth="1"/>
    <col min="8720" max="8720" width="11.109375" style="42" bestFit="1" customWidth="1"/>
    <col min="8721" max="8721" width="9.88671875" style="42" bestFit="1" customWidth="1"/>
    <col min="8722" max="8722" width="11.44140625" style="42" bestFit="1" customWidth="1"/>
    <col min="8723" max="8723" width="10.88671875" style="42" customWidth="1"/>
    <col min="8724" max="8724" width="8.109375" style="42" customWidth="1"/>
    <col min="8725" max="8725" width="10.33203125" style="42" customWidth="1"/>
    <col min="8726" max="8726" width="11" style="42" customWidth="1"/>
    <col min="8727" max="8727" width="11.6640625" style="42" customWidth="1"/>
    <col min="8728" max="8728" width="8" style="42" customWidth="1"/>
    <col min="8729" max="8729" width="8.33203125" style="42" customWidth="1"/>
    <col min="8730" max="8731" width="13.44140625" style="42" customWidth="1"/>
    <col min="8732" max="8732" width="13.6640625" style="42" customWidth="1"/>
    <col min="8733" max="8733" width="13.44140625" style="42" customWidth="1"/>
    <col min="8734" max="8734" width="11.44140625" style="42" customWidth="1"/>
    <col min="8735" max="8735" width="10.6640625" style="42" customWidth="1"/>
    <col min="8736" max="8736" width="11.109375" style="42" customWidth="1"/>
    <col min="8737" max="8737" width="9.88671875" style="42" customWidth="1"/>
    <col min="8738" max="8738" width="10.33203125" style="42" customWidth="1"/>
    <col min="8739" max="8739" width="9.88671875" style="42" customWidth="1"/>
    <col min="8740" max="8740" width="11.5546875" style="42" customWidth="1"/>
    <col min="8741" max="8741" width="12.33203125" style="42" customWidth="1"/>
    <col min="8742" max="8742" width="7.44140625" style="42" customWidth="1"/>
    <col min="8743" max="8743" width="10" style="42" customWidth="1"/>
    <col min="8744" max="8744" width="11.44140625" style="42" customWidth="1"/>
    <col min="8745" max="8745" width="8.5546875" style="42" customWidth="1"/>
    <col min="8746" max="8746" width="13.109375" style="42" customWidth="1"/>
    <col min="8747" max="8747" width="7.109375" style="42" customWidth="1"/>
    <col min="8748" max="8748" width="9" style="42" customWidth="1"/>
    <col min="8749" max="8749" width="11.33203125" style="42" customWidth="1"/>
    <col min="8750" max="8751" width="9.109375" style="42"/>
    <col min="8752" max="8752" width="7.44140625" style="42" customWidth="1"/>
    <col min="8753" max="8753" width="9.109375" style="42"/>
    <col min="8754" max="8754" width="13.33203125" style="42" customWidth="1"/>
    <col min="8755" max="8755" width="15" style="42" customWidth="1"/>
    <col min="8756" max="8756" width="10.44140625" style="42" customWidth="1"/>
    <col min="8757" max="8757" width="11.5546875" style="42" customWidth="1"/>
    <col min="8758" max="8776" width="9.109375" style="42"/>
    <col min="8777" max="8777" width="7.109375" style="42" customWidth="1"/>
    <col min="8778" max="8778" width="5.6640625" style="42" customWidth="1"/>
    <col min="8779" max="8779" width="5.44140625" style="42" customWidth="1"/>
    <col min="8780" max="8964" width="9.109375" style="42"/>
    <col min="8965" max="8965" width="44.5546875" style="42" customWidth="1"/>
    <col min="8966" max="8966" width="13.33203125" style="42" customWidth="1"/>
    <col min="8967" max="8967" width="10.109375" style="42" customWidth="1"/>
    <col min="8968" max="8968" width="13.6640625" style="42" customWidth="1"/>
    <col min="8969" max="8969" width="10.44140625" style="42" customWidth="1"/>
    <col min="8970" max="8970" width="9.44140625" style="42" bestFit="1" customWidth="1"/>
    <col min="8971" max="8971" width="7.44140625" style="42" bestFit="1" customWidth="1"/>
    <col min="8972" max="8972" width="14.33203125" style="42" bestFit="1" customWidth="1"/>
    <col min="8973" max="8973" width="12.5546875" style="42" bestFit="1" customWidth="1"/>
    <col min="8974" max="8974" width="9.44140625" style="42" customWidth="1"/>
    <col min="8975" max="8975" width="10.44140625" style="42" customWidth="1"/>
    <col min="8976" max="8976" width="11.109375" style="42" bestFit="1" customWidth="1"/>
    <col min="8977" max="8977" width="9.88671875" style="42" bestFit="1" customWidth="1"/>
    <col min="8978" max="8978" width="11.44140625" style="42" bestFit="1" customWidth="1"/>
    <col min="8979" max="8979" width="10.88671875" style="42" customWidth="1"/>
    <col min="8980" max="8980" width="8.109375" style="42" customWidth="1"/>
    <col min="8981" max="8981" width="10.33203125" style="42" customWidth="1"/>
    <col min="8982" max="8982" width="11" style="42" customWidth="1"/>
    <col min="8983" max="8983" width="11.6640625" style="42" customWidth="1"/>
    <col min="8984" max="8984" width="8" style="42" customWidth="1"/>
    <col min="8985" max="8985" width="8.33203125" style="42" customWidth="1"/>
    <col min="8986" max="8987" width="13.44140625" style="42" customWidth="1"/>
    <col min="8988" max="8988" width="13.6640625" style="42" customWidth="1"/>
    <col min="8989" max="8989" width="13.44140625" style="42" customWidth="1"/>
    <col min="8990" max="8990" width="11.44140625" style="42" customWidth="1"/>
    <col min="8991" max="8991" width="10.6640625" style="42" customWidth="1"/>
    <col min="8992" max="8992" width="11.109375" style="42" customWidth="1"/>
    <col min="8993" max="8993" width="9.88671875" style="42" customWidth="1"/>
    <col min="8994" max="8994" width="10.33203125" style="42" customWidth="1"/>
    <col min="8995" max="8995" width="9.88671875" style="42" customWidth="1"/>
    <col min="8996" max="8996" width="11.5546875" style="42" customWidth="1"/>
    <col min="8997" max="8997" width="12.33203125" style="42" customWidth="1"/>
    <col min="8998" max="8998" width="7.44140625" style="42" customWidth="1"/>
    <col min="8999" max="8999" width="10" style="42" customWidth="1"/>
    <col min="9000" max="9000" width="11.44140625" style="42" customWidth="1"/>
    <col min="9001" max="9001" width="8.5546875" style="42" customWidth="1"/>
    <col min="9002" max="9002" width="13.109375" style="42" customWidth="1"/>
    <col min="9003" max="9003" width="7.109375" style="42" customWidth="1"/>
    <col min="9004" max="9004" width="9" style="42" customWidth="1"/>
    <col min="9005" max="9005" width="11.33203125" style="42" customWidth="1"/>
    <col min="9006" max="9007" width="9.109375" style="42"/>
    <col min="9008" max="9008" width="7.44140625" style="42" customWidth="1"/>
    <col min="9009" max="9009" width="9.109375" style="42"/>
    <col min="9010" max="9010" width="13.33203125" style="42" customWidth="1"/>
    <col min="9011" max="9011" width="15" style="42" customWidth="1"/>
    <col min="9012" max="9012" width="10.44140625" style="42" customWidth="1"/>
    <col min="9013" max="9013" width="11.5546875" style="42" customWidth="1"/>
    <col min="9014" max="9032" width="9.109375" style="42"/>
    <col min="9033" max="9033" width="7.109375" style="42" customWidth="1"/>
    <col min="9034" max="9034" width="5.6640625" style="42" customWidth="1"/>
    <col min="9035" max="9035" width="5.44140625" style="42" customWidth="1"/>
    <col min="9036" max="9220" width="9.109375" style="42"/>
    <col min="9221" max="9221" width="44.5546875" style="42" customWidth="1"/>
    <col min="9222" max="9222" width="13.33203125" style="42" customWidth="1"/>
    <col min="9223" max="9223" width="10.109375" style="42" customWidth="1"/>
    <col min="9224" max="9224" width="13.6640625" style="42" customWidth="1"/>
    <col min="9225" max="9225" width="10.44140625" style="42" customWidth="1"/>
    <col min="9226" max="9226" width="9.44140625" style="42" bestFit="1" customWidth="1"/>
    <col min="9227" max="9227" width="7.44140625" style="42" bestFit="1" customWidth="1"/>
    <col min="9228" max="9228" width="14.33203125" style="42" bestFit="1" customWidth="1"/>
    <col min="9229" max="9229" width="12.5546875" style="42" bestFit="1" customWidth="1"/>
    <col min="9230" max="9230" width="9.44140625" style="42" customWidth="1"/>
    <col min="9231" max="9231" width="10.44140625" style="42" customWidth="1"/>
    <col min="9232" max="9232" width="11.109375" style="42" bestFit="1" customWidth="1"/>
    <col min="9233" max="9233" width="9.88671875" style="42" bestFit="1" customWidth="1"/>
    <col min="9234" max="9234" width="11.44140625" style="42" bestFit="1" customWidth="1"/>
    <col min="9235" max="9235" width="10.88671875" style="42" customWidth="1"/>
    <col min="9236" max="9236" width="8.109375" style="42" customWidth="1"/>
    <col min="9237" max="9237" width="10.33203125" style="42" customWidth="1"/>
    <col min="9238" max="9238" width="11" style="42" customWidth="1"/>
    <col min="9239" max="9239" width="11.6640625" style="42" customWidth="1"/>
    <col min="9240" max="9240" width="8" style="42" customWidth="1"/>
    <col min="9241" max="9241" width="8.33203125" style="42" customWidth="1"/>
    <col min="9242" max="9243" width="13.44140625" style="42" customWidth="1"/>
    <col min="9244" max="9244" width="13.6640625" style="42" customWidth="1"/>
    <col min="9245" max="9245" width="13.44140625" style="42" customWidth="1"/>
    <col min="9246" max="9246" width="11.44140625" style="42" customWidth="1"/>
    <col min="9247" max="9247" width="10.6640625" style="42" customWidth="1"/>
    <col min="9248" max="9248" width="11.109375" style="42" customWidth="1"/>
    <col min="9249" max="9249" width="9.88671875" style="42" customWidth="1"/>
    <col min="9250" max="9250" width="10.33203125" style="42" customWidth="1"/>
    <col min="9251" max="9251" width="9.88671875" style="42" customWidth="1"/>
    <col min="9252" max="9252" width="11.5546875" style="42" customWidth="1"/>
    <col min="9253" max="9253" width="12.33203125" style="42" customWidth="1"/>
    <col min="9254" max="9254" width="7.44140625" style="42" customWidth="1"/>
    <col min="9255" max="9255" width="10" style="42" customWidth="1"/>
    <col min="9256" max="9256" width="11.44140625" style="42" customWidth="1"/>
    <col min="9257" max="9257" width="8.5546875" style="42" customWidth="1"/>
    <col min="9258" max="9258" width="13.109375" style="42" customWidth="1"/>
    <col min="9259" max="9259" width="7.109375" style="42" customWidth="1"/>
    <col min="9260" max="9260" width="9" style="42" customWidth="1"/>
    <col min="9261" max="9261" width="11.33203125" style="42" customWidth="1"/>
    <col min="9262" max="9263" width="9.109375" style="42"/>
    <col min="9264" max="9264" width="7.44140625" style="42" customWidth="1"/>
    <col min="9265" max="9265" width="9.109375" style="42"/>
    <col min="9266" max="9266" width="13.33203125" style="42" customWidth="1"/>
    <col min="9267" max="9267" width="15" style="42" customWidth="1"/>
    <col min="9268" max="9268" width="10.44140625" style="42" customWidth="1"/>
    <col min="9269" max="9269" width="11.5546875" style="42" customWidth="1"/>
    <col min="9270" max="9288" width="9.109375" style="42"/>
    <col min="9289" max="9289" width="7.109375" style="42" customWidth="1"/>
    <col min="9290" max="9290" width="5.6640625" style="42" customWidth="1"/>
    <col min="9291" max="9291" width="5.44140625" style="42" customWidth="1"/>
    <col min="9292" max="9476" width="9.109375" style="42"/>
    <col min="9477" max="9477" width="44.5546875" style="42" customWidth="1"/>
    <col min="9478" max="9478" width="13.33203125" style="42" customWidth="1"/>
    <col min="9479" max="9479" width="10.109375" style="42" customWidth="1"/>
    <col min="9480" max="9480" width="13.6640625" style="42" customWidth="1"/>
    <col min="9481" max="9481" width="10.44140625" style="42" customWidth="1"/>
    <col min="9482" max="9482" width="9.44140625" style="42" bestFit="1" customWidth="1"/>
    <col min="9483" max="9483" width="7.44140625" style="42" bestFit="1" customWidth="1"/>
    <col min="9484" max="9484" width="14.33203125" style="42" bestFit="1" customWidth="1"/>
    <col min="9485" max="9485" width="12.5546875" style="42" bestFit="1" customWidth="1"/>
    <col min="9486" max="9486" width="9.44140625" style="42" customWidth="1"/>
    <col min="9487" max="9487" width="10.44140625" style="42" customWidth="1"/>
    <col min="9488" max="9488" width="11.109375" style="42" bestFit="1" customWidth="1"/>
    <col min="9489" max="9489" width="9.88671875" style="42" bestFit="1" customWidth="1"/>
    <col min="9490" max="9490" width="11.44140625" style="42" bestFit="1" customWidth="1"/>
    <col min="9491" max="9491" width="10.88671875" style="42" customWidth="1"/>
    <col min="9492" max="9492" width="8.109375" style="42" customWidth="1"/>
    <col min="9493" max="9493" width="10.33203125" style="42" customWidth="1"/>
    <col min="9494" max="9494" width="11" style="42" customWidth="1"/>
    <col min="9495" max="9495" width="11.6640625" style="42" customWidth="1"/>
    <col min="9496" max="9496" width="8" style="42" customWidth="1"/>
    <col min="9497" max="9497" width="8.33203125" style="42" customWidth="1"/>
    <col min="9498" max="9499" width="13.44140625" style="42" customWidth="1"/>
    <col min="9500" max="9500" width="13.6640625" style="42" customWidth="1"/>
    <col min="9501" max="9501" width="13.44140625" style="42" customWidth="1"/>
    <col min="9502" max="9502" width="11.44140625" style="42" customWidth="1"/>
    <col min="9503" max="9503" width="10.6640625" style="42" customWidth="1"/>
    <col min="9504" max="9504" width="11.109375" style="42" customWidth="1"/>
    <col min="9505" max="9505" width="9.88671875" style="42" customWidth="1"/>
    <col min="9506" max="9506" width="10.33203125" style="42" customWidth="1"/>
    <col min="9507" max="9507" width="9.88671875" style="42" customWidth="1"/>
    <col min="9508" max="9508" width="11.5546875" style="42" customWidth="1"/>
    <col min="9509" max="9509" width="12.33203125" style="42" customWidth="1"/>
    <col min="9510" max="9510" width="7.44140625" style="42" customWidth="1"/>
    <col min="9511" max="9511" width="10" style="42" customWidth="1"/>
    <col min="9512" max="9512" width="11.44140625" style="42" customWidth="1"/>
    <col min="9513" max="9513" width="8.5546875" style="42" customWidth="1"/>
    <col min="9514" max="9514" width="13.109375" style="42" customWidth="1"/>
    <col min="9515" max="9515" width="7.109375" style="42" customWidth="1"/>
    <col min="9516" max="9516" width="9" style="42" customWidth="1"/>
    <col min="9517" max="9517" width="11.33203125" style="42" customWidth="1"/>
    <col min="9518" max="9519" width="9.109375" style="42"/>
    <col min="9520" max="9520" width="7.44140625" style="42" customWidth="1"/>
    <col min="9521" max="9521" width="9.109375" style="42"/>
    <col min="9522" max="9522" width="13.33203125" style="42" customWidth="1"/>
    <col min="9523" max="9523" width="15" style="42" customWidth="1"/>
    <col min="9524" max="9524" width="10.44140625" style="42" customWidth="1"/>
    <col min="9525" max="9525" width="11.5546875" style="42" customWidth="1"/>
    <col min="9526" max="9544" width="9.109375" style="42"/>
    <col min="9545" max="9545" width="7.109375" style="42" customWidth="1"/>
    <col min="9546" max="9546" width="5.6640625" style="42" customWidth="1"/>
    <col min="9547" max="9547" width="5.44140625" style="42" customWidth="1"/>
    <col min="9548" max="9732" width="9.109375" style="42"/>
    <col min="9733" max="9733" width="44.5546875" style="42" customWidth="1"/>
    <col min="9734" max="9734" width="13.33203125" style="42" customWidth="1"/>
    <col min="9735" max="9735" width="10.109375" style="42" customWidth="1"/>
    <col min="9736" max="9736" width="13.6640625" style="42" customWidth="1"/>
    <col min="9737" max="9737" width="10.44140625" style="42" customWidth="1"/>
    <col min="9738" max="9738" width="9.44140625" style="42" bestFit="1" customWidth="1"/>
    <col min="9739" max="9739" width="7.44140625" style="42" bestFit="1" customWidth="1"/>
    <col min="9740" max="9740" width="14.33203125" style="42" bestFit="1" customWidth="1"/>
    <col min="9741" max="9741" width="12.5546875" style="42" bestFit="1" customWidth="1"/>
    <col min="9742" max="9742" width="9.44140625" style="42" customWidth="1"/>
    <col min="9743" max="9743" width="10.44140625" style="42" customWidth="1"/>
    <col min="9744" max="9744" width="11.109375" style="42" bestFit="1" customWidth="1"/>
    <col min="9745" max="9745" width="9.88671875" style="42" bestFit="1" customWidth="1"/>
    <col min="9746" max="9746" width="11.44140625" style="42" bestFit="1" customWidth="1"/>
    <col min="9747" max="9747" width="10.88671875" style="42" customWidth="1"/>
    <col min="9748" max="9748" width="8.109375" style="42" customWidth="1"/>
    <col min="9749" max="9749" width="10.33203125" style="42" customWidth="1"/>
    <col min="9750" max="9750" width="11" style="42" customWidth="1"/>
    <col min="9751" max="9751" width="11.6640625" style="42" customWidth="1"/>
    <col min="9752" max="9752" width="8" style="42" customWidth="1"/>
    <col min="9753" max="9753" width="8.33203125" style="42" customWidth="1"/>
    <col min="9754" max="9755" width="13.44140625" style="42" customWidth="1"/>
    <col min="9756" max="9756" width="13.6640625" style="42" customWidth="1"/>
    <col min="9757" max="9757" width="13.44140625" style="42" customWidth="1"/>
    <col min="9758" max="9758" width="11.44140625" style="42" customWidth="1"/>
    <col min="9759" max="9759" width="10.6640625" style="42" customWidth="1"/>
    <col min="9760" max="9760" width="11.109375" style="42" customWidth="1"/>
    <col min="9761" max="9761" width="9.88671875" style="42" customWidth="1"/>
    <col min="9762" max="9762" width="10.33203125" style="42" customWidth="1"/>
    <col min="9763" max="9763" width="9.88671875" style="42" customWidth="1"/>
    <col min="9764" max="9764" width="11.5546875" style="42" customWidth="1"/>
    <col min="9765" max="9765" width="12.33203125" style="42" customWidth="1"/>
    <col min="9766" max="9766" width="7.44140625" style="42" customWidth="1"/>
    <col min="9767" max="9767" width="10" style="42" customWidth="1"/>
    <col min="9768" max="9768" width="11.44140625" style="42" customWidth="1"/>
    <col min="9769" max="9769" width="8.5546875" style="42" customWidth="1"/>
    <col min="9770" max="9770" width="13.109375" style="42" customWidth="1"/>
    <col min="9771" max="9771" width="7.109375" style="42" customWidth="1"/>
    <col min="9772" max="9772" width="9" style="42" customWidth="1"/>
    <col min="9773" max="9773" width="11.33203125" style="42" customWidth="1"/>
    <col min="9774" max="9775" width="9.109375" style="42"/>
    <col min="9776" max="9776" width="7.44140625" style="42" customWidth="1"/>
    <col min="9777" max="9777" width="9.109375" style="42"/>
    <col min="9778" max="9778" width="13.33203125" style="42" customWidth="1"/>
    <col min="9779" max="9779" width="15" style="42" customWidth="1"/>
    <col min="9780" max="9780" width="10.44140625" style="42" customWidth="1"/>
    <col min="9781" max="9781" width="11.5546875" style="42" customWidth="1"/>
    <col min="9782" max="9800" width="9.109375" style="42"/>
    <col min="9801" max="9801" width="7.109375" style="42" customWidth="1"/>
    <col min="9802" max="9802" width="5.6640625" style="42" customWidth="1"/>
    <col min="9803" max="9803" width="5.44140625" style="42" customWidth="1"/>
    <col min="9804" max="9988" width="9.109375" style="42"/>
    <col min="9989" max="9989" width="44.5546875" style="42" customWidth="1"/>
    <col min="9990" max="9990" width="13.33203125" style="42" customWidth="1"/>
    <col min="9991" max="9991" width="10.109375" style="42" customWidth="1"/>
    <col min="9992" max="9992" width="13.6640625" style="42" customWidth="1"/>
    <col min="9993" max="9993" width="10.44140625" style="42" customWidth="1"/>
    <col min="9994" max="9994" width="9.44140625" style="42" bestFit="1" customWidth="1"/>
    <col min="9995" max="9995" width="7.44140625" style="42" bestFit="1" customWidth="1"/>
    <col min="9996" max="9996" width="14.33203125" style="42" bestFit="1" customWidth="1"/>
    <col min="9997" max="9997" width="12.5546875" style="42" bestFit="1" customWidth="1"/>
    <col min="9998" max="9998" width="9.44140625" style="42" customWidth="1"/>
    <col min="9999" max="9999" width="10.44140625" style="42" customWidth="1"/>
    <col min="10000" max="10000" width="11.109375" style="42" bestFit="1" customWidth="1"/>
    <col min="10001" max="10001" width="9.88671875" style="42" bestFit="1" customWidth="1"/>
    <col min="10002" max="10002" width="11.44140625" style="42" bestFit="1" customWidth="1"/>
    <col min="10003" max="10003" width="10.88671875" style="42" customWidth="1"/>
    <col min="10004" max="10004" width="8.109375" style="42" customWidth="1"/>
    <col min="10005" max="10005" width="10.33203125" style="42" customWidth="1"/>
    <col min="10006" max="10006" width="11" style="42" customWidth="1"/>
    <col min="10007" max="10007" width="11.6640625" style="42" customWidth="1"/>
    <col min="10008" max="10008" width="8" style="42" customWidth="1"/>
    <col min="10009" max="10009" width="8.33203125" style="42" customWidth="1"/>
    <col min="10010" max="10011" width="13.44140625" style="42" customWidth="1"/>
    <col min="10012" max="10012" width="13.6640625" style="42" customWidth="1"/>
    <col min="10013" max="10013" width="13.44140625" style="42" customWidth="1"/>
    <col min="10014" max="10014" width="11.44140625" style="42" customWidth="1"/>
    <col min="10015" max="10015" width="10.6640625" style="42" customWidth="1"/>
    <col min="10016" max="10016" width="11.109375" style="42" customWidth="1"/>
    <col min="10017" max="10017" width="9.88671875" style="42" customWidth="1"/>
    <col min="10018" max="10018" width="10.33203125" style="42" customWidth="1"/>
    <col min="10019" max="10019" width="9.88671875" style="42" customWidth="1"/>
    <col min="10020" max="10020" width="11.5546875" style="42" customWidth="1"/>
    <col min="10021" max="10021" width="12.33203125" style="42" customWidth="1"/>
    <col min="10022" max="10022" width="7.44140625" style="42" customWidth="1"/>
    <col min="10023" max="10023" width="10" style="42" customWidth="1"/>
    <col min="10024" max="10024" width="11.44140625" style="42" customWidth="1"/>
    <col min="10025" max="10025" width="8.5546875" style="42" customWidth="1"/>
    <col min="10026" max="10026" width="13.109375" style="42" customWidth="1"/>
    <col min="10027" max="10027" width="7.109375" style="42" customWidth="1"/>
    <col min="10028" max="10028" width="9" style="42" customWidth="1"/>
    <col min="10029" max="10029" width="11.33203125" style="42" customWidth="1"/>
    <col min="10030" max="10031" width="9.109375" style="42"/>
    <col min="10032" max="10032" width="7.44140625" style="42" customWidth="1"/>
    <col min="10033" max="10033" width="9.109375" style="42"/>
    <col min="10034" max="10034" width="13.33203125" style="42" customWidth="1"/>
    <col min="10035" max="10035" width="15" style="42" customWidth="1"/>
    <col min="10036" max="10036" width="10.44140625" style="42" customWidth="1"/>
    <col min="10037" max="10037" width="11.5546875" style="42" customWidth="1"/>
    <col min="10038" max="10056" width="9.109375" style="42"/>
    <col min="10057" max="10057" width="7.109375" style="42" customWidth="1"/>
    <col min="10058" max="10058" width="5.6640625" style="42" customWidth="1"/>
    <col min="10059" max="10059" width="5.44140625" style="42" customWidth="1"/>
    <col min="10060" max="10244" width="9.109375" style="42"/>
    <col min="10245" max="10245" width="44.5546875" style="42" customWidth="1"/>
    <col min="10246" max="10246" width="13.33203125" style="42" customWidth="1"/>
    <col min="10247" max="10247" width="10.109375" style="42" customWidth="1"/>
    <col min="10248" max="10248" width="13.6640625" style="42" customWidth="1"/>
    <col min="10249" max="10249" width="10.44140625" style="42" customWidth="1"/>
    <col min="10250" max="10250" width="9.44140625" style="42" bestFit="1" customWidth="1"/>
    <col min="10251" max="10251" width="7.44140625" style="42" bestFit="1" customWidth="1"/>
    <col min="10252" max="10252" width="14.33203125" style="42" bestFit="1" customWidth="1"/>
    <col min="10253" max="10253" width="12.5546875" style="42" bestFit="1" customWidth="1"/>
    <col min="10254" max="10254" width="9.44140625" style="42" customWidth="1"/>
    <col min="10255" max="10255" width="10.44140625" style="42" customWidth="1"/>
    <col min="10256" max="10256" width="11.109375" style="42" bestFit="1" customWidth="1"/>
    <col min="10257" max="10257" width="9.88671875" style="42" bestFit="1" customWidth="1"/>
    <col min="10258" max="10258" width="11.44140625" style="42" bestFit="1" customWidth="1"/>
    <col min="10259" max="10259" width="10.88671875" style="42" customWidth="1"/>
    <col min="10260" max="10260" width="8.109375" style="42" customWidth="1"/>
    <col min="10261" max="10261" width="10.33203125" style="42" customWidth="1"/>
    <col min="10262" max="10262" width="11" style="42" customWidth="1"/>
    <col min="10263" max="10263" width="11.6640625" style="42" customWidth="1"/>
    <col min="10264" max="10264" width="8" style="42" customWidth="1"/>
    <col min="10265" max="10265" width="8.33203125" style="42" customWidth="1"/>
    <col min="10266" max="10267" width="13.44140625" style="42" customWidth="1"/>
    <col min="10268" max="10268" width="13.6640625" style="42" customWidth="1"/>
    <col min="10269" max="10269" width="13.44140625" style="42" customWidth="1"/>
    <col min="10270" max="10270" width="11.44140625" style="42" customWidth="1"/>
    <col min="10271" max="10271" width="10.6640625" style="42" customWidth="1"/>
    <col min="10272" max="10272" width="11.109375" style="42" customWidth="1"/>
    <col min="10273" max="10273" width="9.88671875" style="42" customWidth="1"/>
    <col min="10274" max="10274" width="10.33203125" style="42" customWidth="1"/>
    <col min="10275" max="10275" width="9.88671875" style="42" customWidth="1"/>
    <col min="10276" max="10276" width="11.5546875" style="42" customWidth="1"/>
    <col min="10277" max="10277" width="12.33203125" style="42" customWidth="1"/>
    <col min="10278" max="10278" width="7.44140625" style="42" customWidth="1"/>
    <col min="10279" max="10279" width="10" style="42" customWidth="1"/>
    <col min="10280" max="10280" width="11.44140625" style="42" customWidth="1"/>
    <col min="10281" max="10281" width="8.5546875" style="42" customWidth="1"/>
    <col min="10282" max="10282" width="13.109375" style="42" customWidth="1"/>
    <col min="10283" max="10283" width="7.109375" style="42" customWidth="1"/>
    <col min="10284" max="10284" width="9" style="42" customWidth="1"/>
    <col min="10285" max="10285" width="11.33203125" style="42" customWidth="1"/>
    <col min="10286" max="10287" width="9.109375" style="42"/>
    <col min="10288" max="10288" width="7.44140625" style="42" customWidth="1"/>
    <col min="10289" max="10289" width="9.109375" style="42"/>
    <col min="10290" max="10290" width="13.33203125" style="42" customWidth="1"/>
    <col min="10291" max="10291" width="15" style="42" customWidth="1"/>
    <col min="10292" max="10292" width="10.44140625" style="42" customWidth="1"/>
    <col min="10293" max="10293" width="11.5546875" style="42" customWidth="1"/>
    <col min="10294" max="10312" width="9.109375" style="42"/>
    <col min="10313" max="10313" width="7.109375" style="42" customWidth="1"/>
    <col min="10314" max="10314" width="5.6640625" style="42" customWidth="1"/>
    <col min="10315" max="10315" width="5.44140625" style="42" customWidth="1"/>
    <col min="10316" max="10500" width="9.109375" style="42"/>
    <col min="10501" max="10501" width="44.5546875" style="42" customWidth="1"/>
    <col min="10502" max="10502" width="13.33203125" style="42" customWidth="1"/>
    <col min="10503" max="10503" width="10.109375" style="42" customWidth="1"/>
    <col min="10504" max="10504" width="13.6640625" style="42" customWidth="1"/>
    <col min="10505" max="10505" width="10.44140625" style="42" customWidth="1"/>
    <col min="10506" max="10506" width="9.44140625" style="42" bestFit="1" customWidth="1"/>
    <col min="10507" max="10507" width="7.44140625" style="42" bestFit="1" customWidth="1"/>
    <col min="10508" max="10508" width="14.33203125" style="42" bestFit="1" customWidth="1"/>
    <col min="10509" max="10509" width="12.5546875" style="42" bestFit="1" customWidth="1"/>
    <col min="10510" max="10510" width="9.44140625" style="42" customWidth="1"/>
    <col min="10511" max="10511" width="10.44140625" style="42" customWidth="1"/>
    <col min="10512" max="10512" width="11.109375" style="42" bestFit="1" customWidth="1"/>
    <col min="10513" max="10513" width="9.88671875" style="42" bestFit="1" customWidth="1"/>
    <col min="10514" max="10514" width="11.44140625" style="42" bestFit="1" customWidth="1"/>
    <col min="10515" max="10515" width="10.88671875" style="42" customWidth="1"/>
    <col min="10516" max="10516" width="8.109375" style="42" customWidth="1"/>
    <col min="10517" max="10517" width="10.33203125" style="42" customWidth="1"/>
    <col min="10518" max="10518" width="11" style="42" customWidth="1"/>
    <col min="10519" max="10519" width="11.6640625" style="42" customWidth="1"/>
    <col min="10520" max="10520" width="8" style="42" customWidth="1"/>
    <col min="10521" max="10521" width="8.33203125" style="42" customWidth="1"/>
    <col min="10522" max="10523" width="13.44140625" style="42" customWidth="1"/>
    <col min="10524" max="10524" width="13.6640625" style="42" customWidth="1"/>
    <col min="10525" max="10525" width="13.44140625" style="42" customWidth="1"/>
    <col min="10526" max="10526" width="11.44140625" style="42" customWidth="1"/>
    <col min="10527" max="10527" width="10.6640625" style="42" customWidth="1"/>
    <col min="10528" max="10528" width="11.109375" style="42" customWidth="1"/>
    <col min="10529" max="10529" width="9.88671875" style="42" customWidth="1"/>
    <col min="10530" max="10530" width="10.33203125" style="42" customWidth="1"/>
    <col min="10531" max="10531" width="9.88671875" style="42" customWidth="1"/>
    <col min="10532" max="10532" width="11.5546875" style="42" customWidth="1"/>
    <col min="10533" max="10533" width="12.33203125" style="42" customWidth="1"/>
    <col min="10534" max="10534" width="7.44140625" style="42" customWidth="1"/>
    <col min="10535" max="10535" width="10" style="42" customWidth="1"/>
    <col min="10536" max="10536" width="11.44140625" style="42" customWidth="1"/>
    <col min="10537" max="10537" width="8.5546875" style="42" customWidth="1"/>
    <col min="10538" max="10538" width="13.109375" style="42" customWidth="1"/>
    <col min="10539" max="10539" width="7.109375" style="42" customWidth="1"/>
    <col min="10540" max="10540" width="9" style="42" customWidth="1"/>
    <col min="10541" max="10541" width="11.33203125" style="42" customWidth="1"/>
    <col min="10542" max="10543" width="9.109375" style="42"/>
    <col min="10544" max="10544" width="7.44140625" style="42" customWidth="1"/>
    <col min="10545" max="10545" width="9.109375" style="42"/>
    <col min="10546" max="10546" width="13.33203125" style="42" customWidth="1"/>
    <col min="10547" max="10547" width="15" style="42" customWidth="1"/>
    <col min="10548" max="10548" width="10.44140625" style="42" customWidth="1"/>
    <col min="10549" max="10549" width="11.5546875" style="42" customWidth="1"/>
    <col min="10550" max="10568" width="9.109375" style="42"/>
    <col min="10569" max="10569" width="7.109375" style="42" customWidth="1"/>
    <col min="10570" max="10570" width="5.6640625" style="42" customWidth="1"/>
    <col min="10571" max="10571" width="5.44140625" style="42" customWidth="1"/>
    <col min="10572" max="10756" width="9.109375" style="42"/>
    <col min="10757" max="10757" width="44.5546875" style="42" customWidth="1"/>
    <col min="10758" max="10758" width="13.33203125" style="42" customWidth="1"/>
    <col min="10759" max="10759" width="10.109375" style="42" customWidth="1"/>
    <col min="10760" max="10760" width="13.6640625" style="42" customWidth="1"/>
    <col min="10761" max="10761" width="10.44140625" style="42" customWidth="1"/>
    <col min="10762" max="10762" width="9.44140625" style="42" bestFit="1" customWidth="1"/>
    <col min="10763" max="10763" width="7.44140625" style="42" bestFit="1" customWidth="1"/>
    <col min="10764" max="10764" width="14.33203125" style="42" bestFit="1" customWidth="1"/>
    <col min="10765" max="10765" width="12.5546875" style="42" bestFit="1" customWidth="1"/>
    <col min="10766" max="10766" width="9.44140625" style="42" customWidth="1"/>
    <col min="10767" max="10767" width="10.44140625" style="42" customWidth="1"/>
    <col min="10768" max="10768" width="11.109375" style="42" bestFit="1" customWidth="1"/>
    <col min="10769" max="10769" width="9.88671875" style="42" bestFit="1" customWidth="1"/>
    <col min="10770" max="10770" width="11.44140625" style="42" bestFit="1" customWidth="1"/>
    <col min="10771" max="10771" width="10.88671875" style="42" customWidth="1"/>
    <col min="10772" max="10772" width="8.109375" style="42" customWidth="1"/>
    <col min="10773" max="10773" width="10.33203125" style="42" customWidth="1"/>
    <col min="10774" max="10774" width="11" style="42" customWidth="1"/>
    <col min="10775" max="10775" width="11.6640625" style="42" customWidth="1"/>
    <col min="10776" max="10776" width="8" style="42" customWidth="1"/>
    <col min="10777" max="10777" width="8.33203125" style="42" customWidth="1"/>
    <col min="10778" max="10779" width="13.44140625" style="42" customWidth="1"/>
    <col min="10780" max="10780" width="13.6640625" style="42" customWidth="1"/>
    <col min="10781" max="10781" width="13.44140625" style="42" customWidth="1"/>
    <col min="10782" max="10782" width="11.44140625" style="42" customWidth="1"/>
    <col min="10783" max="10783" width="10.6640625" style="42" customWidth="1"/>
    <col min="10784" max="10784" width="11.109375" style="42" customWidth="1"/>
    <col min="10785" max="10785" width="9.88671875" style="42" customWidth="1"/>
    <col min="10786" max="10786" width="10.33203125" style="42" customWidth="1"/>
    <col min="10787" max="10787" width="9.88671875" style="42" customWidth="1"/>
    <col min="10788" max="10788" width="11.5546875" style="42" customWidth="1"/>
    <col min="10789" max="10789" width="12.33203125" style="42" customWidth="1"/>
    <col min="10790" max="10790" width="7.44140625" style="42" customWidth="1"/>
    <col min="10791" max="10791" width="10" style="42" customWidth="1"/>
    <col min="10792" max="10792" width="11.44140625" style="42" customWidth="1"/>
    <col min="10793" max="10793" width="8.5546875" style="42" customWidth="1"/>
    <col min="10794" max="10794" width="13.109375" style="42" customWidth="1"/>
    <col min="10795" max="10795" width="7.109375" style="42" customWidth="1"/>
    <col min="10796" max="10796" width="9" style="42" customWidth="1"/>
    <col min="10797" max="10797" width="11.33203125" style="42" customWidth="1"/>
    <col min="10798" max="10799" width="9.109375" style="42"/>
    <col min="10800" max="10800" width="7.44140625" style="42" customWidth="1"/>
    <col min="10801" max="10801" width="9.109375" style="42"/>
    <col min="10802" max="10802" width="13.33203125" style="42" customWidth="1"/>
    <col min="10803" max="10803" width="15" style="42" customWidth="1"/>
    <col min="10804" max="10804" width="10.44140625" style="42" customWidth="1"/>
    <col min="10805" max="10805" width="11.5546875" style="42" customWidth="1"/>
    <col min="10806" max="10824" width="9.109375" style="42"/>
    <col min="10825" max="10825" width="7.109375" style="42" customWidth="1"/>
    <col min="10826" max="10826" width="5.6640625" style="42" customWidth="1"/>
    <col min="10827" max="10827" width="5.44140625" style="42" customWidth="1"/>
    <col min="10828" max="11012" width="9.109375" style="42"/>
    <col min="11013" max="11013" width="44.5546875" style="42" customWidth="1"/>
    <col min="11014" max="11014" width="13.33203125" style="42" customWidth="1"/>
    <col min="11015" max="11015" width="10.109375" style="42" customWidth="1"/>
    <col min="11016" max="11016" width="13.6640625" style="42" customWidth="1"/>
    <col min="11017" max="11017" width="10.44140625" style="42" customWidth="1"/>
    <col min="11018" max="11018" width="9.44140625" style="42" bestFit="1" customWidth="1"/>
    <col min="11019" max="11019" width="7.44140625" style="42" bestFit="1" customWidth="1"/>
    <col min="11020" max="11020" width="14.33203125" style="42" bestFit="1" customWidth="1"/>
    <col min="11021" max="11021" width="12.5546875" style="42" bestFit="1" customWidth="1"/>
    <col min="11022" max="11022" width="9.44140625" style="42" customWidth="1"/>
    <col min="11023" max="11023" width="10.44140625" style="42" customWidth="1"/>
    <col min="11024" max="11024" width="11.109375" style="42" bestFit="1" customWidth="1"/>
    <col min="11025" max="11025" width="9.88671875" style="42" bestFit="1" customWidth="1"/>
    <col min="11026" max="11026" width="11.44140625" style="42" bestFit="1" customWidth="1"/>
    <col min="11027" max="11027" width="10.88671875" style="42" customWidth="1"/>
    <col min="11028" max="11028" width="8.109375" style="42" customWidth="1"/>
    <col min="11029" max="11029" width="10.33203125" style="42" customWidth="1"/>
    <col min="11030" max="11030" width="11" style="42" customWidth="1"/>
    <col min="11031" max="11031" width="11.6640625" style="42" customWidth="1"/>
    <col min="11032" max="11032" width="8" style="42" customWidth="1"/>
    <col min="11033" max="11033" width="8.33203125" style="42" customWidth="1"/>
    <col min="11034" max="11035" width="13.44140625" style="42" customWidth="1"/>
    <col min="11036" max="11036" width="13.6640625" style="42" customWidth="1"/>
    <col min="11037" max="11037" width="13.44140625" style="42" customWidth="1"/>
    <col min="11038" max="11038" width="11.44140625" style="42" customWidth="1"/>
    <col min="11039" max="11039" width="10.6640625" style="42" customWidth="1"/>
    <col min="11040" max="11040" width="11.109375" style="42" customWidth="1"/>
    <col min="11041" max="11041" width="9.88671875" style="42" customWidth="1"/>
    <col min="11042" max="11042" width="10.33203125" style="42" customWidth="1"/>
    <col min="11043" max="11043" width="9.88671875" style="42" customWidth="1"/>
    <col min="11044" max="11044" width="11.5546875" style="42" customWidth="1"/>
    <col min="11045" max="11045" width="12.33203125" style="42" customWidth="1"/>
    <col min="11046" max="11046" width="7.44140625" style="42" customWidth="1"/>
    <col min="11047" max="11047" width="10" style="42" customWidth="1"/>
    <col min="11048" max="11048" width="11.44140625" style="42" customWidth="1"/>
    <col min="11049" max="11049" width="8.5546875" style="42" customWidth="1"/>
    <col min="11050" max="11050" width="13.109375" style="42" customWidth="1"/>
    <col min="11051" max="11051" width="7.109375" style="42" customWidth="1"/>
    <col min="11052" max="11052" width="9" style="42" customWidth="1"/>
    <col min="11053" max="11053" width="11.33203125" style="42" customWidth="1"/>
    <col min="11054" max="11055" width="9.109375" style="42"/>
    <col min="11056" max="11056" width="7.44140625" style="42" customWidth="1"/>
    <col min="11057" max="11057" width="9.109375" style="42"/>
    <col min="11058" max="11058" width="13.33203125" style="42" customWidth="1"/>
    <col min="11059" max="11059" width="15" style="42" customWidth="1"/>
    <col min="11060" max="11060" width="10.44140625" style="42" customWidth="1"/>
    <col min="11061" max="11061" width="11.5546875" style="42" customWidth="1"/>
    <col min="11062" max="11080" width="9.109375" style="42"/>
    <col min="11081" max="11081" width="7.109375" style="42" customWidth="1"/>
    <col min="11082" max="11082" width="5.6640625" style="42" customWidth="1"/>
    <col min="11083" max="11083" width="5.44140625" style="42" customWidth="1"/>
    <col min="11084" max="11268" width="9.109375" style="42"/>
    <col min="11269" max="11269" width="44.5546875" style="42" customWidth="1"/>
    <col min="11270" max="11270" width="13.33203125" style="42" customWidth="1"/>
    <col min="11271" max="11271" width="10.109375" style="42" customWidth="1"/>
    <col min="11272" max="11272" width="13.6640625" style="42" customWidth="1"/>
    <col min="11273" max="11273" width="10.44140625" style="42" customWidth="1"/>
    <col min="11274" max="11274" width="9.44140625" style="42" bestFit="1" customWidth="1"/>
    <col min="11275" max="11275" width="7.44140625" style="42" bestFit="1" customWidth="1"/>
    <col min="11276" max="11276" width="14.33203125" style="42" bestFit="1" customWidth="1"/>
    <col min="11277" max="11277" width="12.5546875" style="42" bestFit="1" customWidth="1"/>
    <col min="11278" max="11278" width="9.44140625" style="42" customWidth="1"/>
    <col min="11279" max="11279" width="10.44140625" style="42" customWidth="1"/>
    <col min="11280" max="11280" width="11.109375" style="42" bestFit="1" customWidth="1"/>
    <col min="11281" max="11281" width="9.88671875" style="42" bestFit="1" customWidth="1"/>
    <col min="11282" max="11282" width="11.44140625" style="42" bestFit="1" customWidth="1"/>
    <col min="11283" max="11283" width="10.88671875" style="42" customWidth="1"/>
    <col min="11284" max="11284" width="8.109375" style="42" customWidth="1"/>
    <col min="11285" max="11285" width="10.33203125" style="42" customWidth="1"/>
    <col min="11286" max="11286" width="11" style="42" customWidth="1"/>
    <col min="11287" max="11287" width="11.6640625" style="42" customWidth="1"/>
    <col min="11288" max="11288" width="8" style="42" customWidth="1"/>
    <col min="11289" max="11289" width="8.33203125" style="42" customWidth="1"/>
    <col min="11290" max="11291" width="13.44140625" style="42" customWidth="1"/>
    <col min="11292" max="11292" width="13.6640625" style="42" customWidth="1"/>
    <col min="11293" max="11293" width="13.44140625" style="42" customWidth="1"/>
    <col min="11294" max="11294" width="11.44140625" style="42" customWidth="1"/>
    <col min="11295" max="11295" width="10.6640625" style="42" customWidth="1"/>
    <col min="11296" max="11296" width="11.109375" style="42" customWidth="1"/>
    <col min="11297" max="11297" width="9.88671875" style="42" customWidth="1"/>
    <col min="11298" max="11298" width="10.33203125" style="42" customWidth="1"/>
    <col min="11299" max="11299" width="9.88671875" style="42" customWidth="1"/>
    <col min="11300" max="11300" width="11.5546875" style="42" customWidth="1"/>
    <col min="11301" max="11301" width="12.33203125" style="42" customWidth="1"/>
    <col min="11302" max="11302" width="7.44140625" style="42" customWidth="1"/>
    <col min="11303" max="11303" width="10" style="42" customWidth="1"/>
    <col min="11304" max="11304" width="11.44140625" style="42" customWidth="1"/>
    <col min="11305" max="11305" width="8.5546875" style="42" customWidth="1"/>
    <col min="11306" max="11306" width="13.109375" style="42" customWidth="1"/>
    <col min="11307" max="11307" width="7.109375" style="42" customWidth="1"/>
    <col min="11308" max="11308" width="9" style="42" customWidth="1"/>
    <col min="11309" max="11309" width="11.33203125" style="42" customWidth="1"/>
    <col min="11310" max="11311" width="9.109375" style="42"/>
    <col min="11312" max="11312" width="7.44140625" style="42" customWidth="1"/>
    <col min="11313" max="11313" width="9.109375" style="42"/>
    <col min="11314" max="11314" width="13.33203125" style="42" customWidth="1"/>
    <col min="11315" max="11315" width="15" style="42" customWidth="1"/>
    <col min="11316" max="11316" width="10.44140625" style="42" customWidth="1"/>
    <col min="11317" max="11317" width="11.5546875" style="42" customWidth="1"/>
    <col min="11318" max="11336" width="9.109375" style="42"/>
    <col min="11337" max="11337" width="7.109375" style="42" customWidth="1"/>
    <col min="11338" max="11338" width="5.6640625" style="42" customWidth="1"/>
    <col min="11339" max="11339" width="5.44140625" style="42" customWidth="1"/>
    <col min="11340" max="11524" width="9.109375" style="42"/>
    <col min="11525" max="11525" width="44.5546875" style="42" customWidth="1"/>
    <col min="11526" max="11526" width="13.33203125" style="42" customWidth="1"/>
    <col min="11527" max="11527" width="10.109375" style="42" customWidth="1"/>
    <col min="11528" max="11528" width="13.6640625" style="42" customWidth="1"/>
    <col min="11529" max="11529" width="10.44140625" style="42" customWidth="1"/>
    <col min="11530" max="11530" width="9.44140625" style="42" bestFit="1" customWidth="1"/>
    <col min="11531" max="11531" width="7.44140625" style="42" bestFit="1" customWidth="1"/>
    <col min="11532" max="11532" width="14.33203125" style="42" bestFit="1" customWidth="1"/>
    <col min="11533" max="11533" width="12.5546875" style="42" bestFit="1" customWidth="1"/>
    <col min="11534" max="11534" width="9.44140625" style="42" customWidth="1"/>
    <col min="11535" max="11535" width="10.44140625" style="42" customWidth="1"/>
    <col min="11536" max="11536" width="11.109375" style="42" bestFit="1" customWidth="1"/>
    <col min="11537" max="11537" width="9.88671875" style="42" bestFit="1" customWidth="1"/>
    <col min="11538" max="11538" width="11.44140625" style="42" bestFit="1" customWidth="1"/>
    <col min="11539" max="11539" width="10.88671875" style="42" customWidth="1"/>
    <col min="11540" max="11540" width="8.109375" style="42" customWidth="1"/>
    <col min="11541" max="11541" width="10.33203125" style="42" customWidth="1"/>
    <col min="11542" max="11542" width="11" style="42" customWidth="1"/>
    <col min="11543" max="11543" width="11.6640625" style="42" customWidth="1"/>
    <col min="11544" max="11544" width="8" style="42" customWidth="1"/>
    <col min="11545" max="11545" width="8.33203125" style="42" customWidth="1"/>
    <col min="11546" max="11547" width="13.44140625" style="42" customWidth="1"/>
    <col min="11548" max="11548" width="13.6640625" style="42" customWidth="1"/>
    <col min="11549" max="11549" width="13.44140625" style="42" customWidth="1"/>
    <col min="11550" max="11550" width="11.44140625" style="42" customWidth="1"/>
    <col min="11551" max="11551" width="10.6640625" style="42" customWidth="1"/>
    <col min="11552" max="11552" width="11.109375" style="42" customWidth="1"/>
    <col min="11553" max="11553" width="9.88671875" style="42" customWidth="1"/>
    <col min="11554" max="11554" width="10.33203125" style="42" customWidth="1"/>
    <col min="11555" max="11555" width="9.88671875" style="42" customWidth="1"/>
    <col min="11556" max="11556" width="11.5546875" style="42" customWidth="1"/>
    <col min="11557" max="11557" width="12.33203125" style="42" customWidth="1"/>
    <col min="11558" max="11558" width="7.44140625" style="42" customWidth="1"/>
    <col min="11559" max="11559" width="10" style="42" customWidth="1"/>
    <col min="11560" max="11560" width="11.44140625" style="42" customWidth="1"/>
    <col min="11561" max="11561" width="8.5546875" style="42" customWidth="1"/>
    <col min="11562" max="11562" width="13.109375" style="42" customWidth="1"/>
    <col min="11563" max="11563" width="7.109375" style="42" customWidth="1"/>
    <col min="11564" max="11564" width="9" style="42" customWidth="1"/>
    <col min="11565" max="11565" width="11.33203125" style="42" customWidth="1"/>
    <col min="11566" max="11567" width="9.109375" style="42"/>
    <col min="11568" max="11568" width="7.44140625" style="42" customWidth="1"/>
    <col min="11569" max="11569" width="9.109375" style="42"/>
    <col min="11570" max="11570" width="13.33203125" style="42" customWidth="1"/>
    <col min="11571" max="11571" width="15" style="42" customWidth="1"/>
    <col min="11572" max="11572" width="10.44140625" style="42" customWidth="1"/>
    <col min="11573" max="11573" width="11.5546875" style="42" customWidth="1"/>
    <col min="11574" max="11592" width="9.109375" style="42"/>
    <col min="11593" max="11593" width="7.109375" style="42" customWidth="1"/>
    <col min="11594" max="11594" width="5.6640625" style="42" customWidth="1"/>
    <col min="11595" max="11595" width="5.44140625" style="42" customWidth="1"/>
    <col min="11596" max="11780" width="9.109375" style="42"/>
    <col min="11781" max="11781" width="44.5546875" style="42" customWidth="1"/>
    <col min="11782" max="11782" width="13.33203125" style="42" customWidth="1"/>
    <col min="11783" max="11783" width="10.109375" style="42" customWidth="1"/>
    <col min="11784" max="11784" width="13.6640625" style="42" customWidth="1"/>
    <col min="11785" max="11785" width="10.44140625" style="42" customWidth="1"/>
    <col min="11786" max="11786" width="9.44140625" style="42" bestFit="1" customWidth="1"/>
    <col min="11787" max="11787" width="7.44140625" style="42" bestFit="1" customWidth="1"/>
    <col min="11788" max="11788" width="14.33203125" style="42" bestFit="1" customWidth="1"/>
    <col min="11789" max="11789" width="12.5546875" style="42" bestFit="1" customWidth="1"/>
    <col min="11790" max="11790" width="9.44140625" style="42" customWidth="1"/>
    <col min="11791" max="11791" width="10.44140625" style="42" customWidth="1"/>
    <col min="11792" max="11792" width="11.109375" style="42" bestFit="1" customWidth="1"/>
    <col min="11793" max="11793" width="9.88671875" style="42" bestFit="1" customWidth="1"/>
    <col min="11794" max="11794" width="11.44140625" style="42" bestFit="1" customWidth="1"/>
    <col min="11795" max="11795" width="10.88671875" style="42" customWidth="1"/>
    <col min="11796" max="11796" width="8.109375" style="42" customWidth="1"/>
    <col min="11797" max="11797" width="10.33203125" style="42" customWidth="1"/>
    <col min="11798" max="11798" width="11" style="42" customWidth="1"/>
    <col min="11799" max="11799" width="11.6640625" style="42" customWidth="1"/>
    <col min="11800" max="11800" width="8" style="42" customWidth="1"/>
    <col min="11801" max="11801" width="8.33203125" style="42" customWidth="1"/>
    <col min="11802" max="11803" width="13.44140625" style="42" customWidth="1"/>
    <col min="11804" max="11804" width="13.6640625" style="42" customWidth="1"/>
    <col min="11805" max="11805" width="13.44140625" style="42" customWidth="1"/>
    <col min="11806" max="11806" width="11.44140625" style="42" customWidth="1"/>
    <col min="11807" max="11807" width="10.6640625" style="42" customWidth="1"/>
    <col min="11808" max="11808" width="11.109375" style="42" customWidth="1"/>
    <col min="11809" max="11809" width="9.88671875" style="42" customWidth="1"/>
    <col min="11810" max="11810" width="10.33203125" style="42" customWidth="1"/>
    <col min="11811" max="11811" width="9.88671875" style="42" customWidth="1"/>
    <col min="11812" max="11812" width="11.5546875" style="42" customWidth="1"/>
    <col min="11813" max="11813" width="12.33203125" style="42" customWidth="1"/>
    <col min="11814" max="11814" width="7.44140625" style="42" customWidth="1"/>
    <col min="11815" max="11815" width="10" style="42" customWidth="1"/>
    <col min="11816" max="11816" width="11.44140625" style="42" customWidth="1"/>
    <col min="11817" max="11817" width="8.5546875" style="42" customWidth="1"/>
    <col min="11818" max="11818" width="13.109375" style="42" customWidth="1"/>
    <col min="11819" max="11819" width="7.109375" style="42" customWidth="1"/>
    <col min="11820" max="11820" width="9" style="42" customWidth="1"/>
    <col min="11821" max="11821" width="11.33203125" style="42" customWidth="1"/>
    <col min="11822" max="11823" width="9.109375" style="42"/>
    <col min="11824" max="11824" width="7.44140625" style="42" customWidth="1"/>
    <col min="11825" max="11825" width="9.109375" style="42"/>
    <col min="11826" max="11826" width="13.33203125" style="42" customWidth="1"/>
    <col min="11827" max="11827" width="15" style="42" customWidth="1"/>
    <col min="11828" max="11828" width="10.44140625" style="42" customWidth="1"/>
    <col min="11829" max="11829" width="11.5546875" style="42" customWidth="1"/>
    <col min="11830" max="11848" width="9.109375" style="42"/>
    <col min="11849" max="11849" width="7.109375" style="42" customWidth="1"/>
    <col min="11850" max="11850" width="5.6640625" style="42" customWidth="1"/>
    <col min="11851" max="11851" width="5.44140625" style="42" customWidth="1"/>
    <col min="11852" max="12036" width="9.109375" style="42"/>
    <col min="12037" max="12037" width="44.5546875" style="42" customWidth="1"/>
    <col min="12038" max="12038" width="13.33203125" style="42" customWidth="1"/>
    <col min="12039" max="12039" width="10.109375" style="42" customWidth="1"/>
    <col min="12040" max="12040" width="13.6640625" style="42" customWidth="1"/>
    <col min="12041" max="12041" width="10.44140625" style="42" customWidth="1"/>
    <col min="12042" max="12042" width="9.44140625" style="42" bestFit="1" customWidth="1"/>
    <col min="12043" max="12043" width="7.44140625" style="42" bestFit="1" customWidth="1"/>
    <col min="12044" max="12044" width="14.33203125" style="42" bestFit="1" customWidth="1"/>
    <col min="12045" max="12045" width="12.5546875" style="42" bestFit="1" customWidth="1"/>
    <col min="12046" max="12046" width="9.44140625" style="42" customWidth="1"/>
    <col min="12047" max="12047" width="10.44140625" style="42" customWidth="1"/>
    <col min="12048" max="12048" width="11.109375" style="42" bestFit="1" customWidth="1"/>
    <col min="12049" max="12049" width="9.88671875" style="42" bestFit="1" customWidth="1"/>
    <col min="12050" max="12050" width="11.44140625" style="42" bestFit="1" customWidth="1"/>
    <col min="12051" max="12051" width="10.88671875" style="42" customWidth="1"/>
    <col min="12052" max="12052" width="8.109375" style="42" customWidth="1"/>
    <col min="12053" max="12053" width="10.33203125" style="42" customWidth="1"/>
    <col min="12054" max="12054" width="11" style="42" customWidth="1"/>
    <col min="12055" max="12055" width="11.6640625" style="42" customWidth="1"/>
    <col min="12056" max="12056" width="8" style="42" customWidth="1"/>
    <col min="12057" max="12057" width="8.33203125" style="42" customWidth="1"/>
    <col min="12058" max="12059" width="13.44140625" style="42" customWidth="1"/>
    <col min="12060" max="12060" width="13.6640625" style="42" customWidth="1"/>
    <col min="12061" max="12061" width="13.44140625" style="42" customWidth="1"/>
    <col min="12062" max="12062" width="11.44140625" style="42" customWidth="1"/>
    <col min="12063" max="12063" width="10.6640625" style="42" customWidth="1"/>
    <col min="12064" max="12064" width="11.109375" style="42" customWidth="1"/>
    <col min="12065" max="12065" width="9.88671875" style="42" customWidth="1"/>
    <col min="12066" max="12066" width="10.33203125" style="42" customWidth="1"/>
    <col min="12067" max="12067" width="9.88671875" style="42" customWidth="1"/>
    <col min="12068" max="12068" width="11.5546875" style="42" customWidth="1"/>
    <col min="12069" max="12069" width="12.33203125" style="42" customWidth="1"/>
    <col min="12070" max="12070" width="7.44140625" style="42" customWidth="1"/>
    <col min="12071" max="12071" width="10" style="42" customWidth="1"/>
    <col min="12072" max="12072" width="11.44140625" style="42" customWidth="1"/>
    <col min="12073" max="12073" width="8.5546875" style="42" customWidth="1"/>
    <col min="12074" max="12074" width="13.109375" style="42" customWidth="1"/>
    <col min="12075" max="12075" width="7.109375" style="42" customWidth="1"/>
    <col min="12076" max="12076" width="9" style="42" customWidth="1"/>
    <col min="12077" max="12077" width="11.33203125" style="42" customWidth="1"/>
    <col min="12078" max="12079" width="9.109375" style="42"/>
    <col min="12080" max="12080" width="7.44140625" style="42" customWidth="1"/>
    <col min="12081" max="12081" width="9.109375" style="42"/>
    <col min="12082" max="12082" width="13.33203125" style="42" customWidth="1"/>
    <col min="12083" max="12083" width="15" style="42" customWidth="1"/>
    <col min="12084" max="12084" width="10.44140625" style="42" customWidth="1"/>
    <col min="12085" max="12085" width="11.5546875" style="42" customWidth="1"/>
    <col min="12086" max="12104" width="9.109375" style="42"/>
    <col min="12105" max="12105" width="7.109375" style="42" customWidth="1"/>
    <col min="12106" max="12106" width="5.6640625" style="42" customWidth="1"/>
    <col min="12107" max="12107" width="5.44140625" style="42" customWidth="1"/>
    <col min="12108" max="12292" width="9.109375" style="42"/>
    <col min="12293" max="12293" width="44.5546875" style="42" customWidth="1"/>
    <col min="12294" max="12294" width="13.33203125" style="42" customWidth="1"/>
    <col min="12295" max="12295" width="10.109375" style="42" customWidth="1"/>
    <col min="12296" max="12296" width="13.6640625" style="42" customWidth="1"/>
    <col min="12297" max="12297" width="10.44140625" style="42" customWidth="1"/>
    <col min="12298" max="12298" width="9.44140625" style="42" bestFit="1" customWidth="1"/>
    <col min="12299" max="12299" width="7.44140625" style="42" bestFit="1" customWidth="1"/>
    <col min="12300" max="12300" width="14.33203125" style="42" bestFit="1" customWidth="1"/>
    <col min="12301" max="12301" width="12.5546875" style="42" bestFit="1" customWidth="1"/>
    <col min="12302" max="12302" width="9.44140625" style="42" customWidth="1"/>
    <col min="12303" max="12303" width="10.44140625" style="42" customWidth="1"/>
    <col min="12304" max="12304" width="11.109375" style="42" bestFit="1" customWidth="1"/>
    <col min="12305" max="12305" width="9.88671875" style="42" bestFit="1" customWidth="1"/>
    <col min="12306" max="12306" width="11.44140625" style="42" bestFit="1" customWidth="1"/>
    <col min="12307" max="12307" width="10.88671875" style="42" customWidth="1"/>
    <col min="12308" max="12308" width="8.109375" style="42" customWidth="1"/>
    <col min="12309" max="12309" width="10.33203125" style="42" customWidth="1"/>
    <col min="12310" max="12310" width="11" style="42" customWidth="1"/>
    <col min="12311" max="12311" width="11.6640625" style="42" customWidth="1"/>
    <col min="12312" max="12312" width="8" style="42" customWidth="1"/>
    <col min="12313" max="12313" width="8.33203125" style="42" customWidth="1"/>
    <col min="12314" max="12315" width="13.44140625" style="42" customWidth="1"/>
    <col min="12316" max="12316" width="13.6640625" style="42" customWidth="1"/>
    <col min="12317" max="12317" width="13.44140625" style="42" customWidth="1"/>
    <col min="12318" max="12318" width="11.44140625" style="42" customWidth="1"/>
    <col min="12319" max="12319" width="10.6640625" style="42" customWidth="1"/>
    <col min="12320" max="12320" width="11.109375" style="42" customWidth="1"/>
    <col min="12321" max="12321" width="9.88671875" style="42" customWidth="1"/>
    <col min="12322" max="12322" width="10.33203125" style="42" customWidth="1"/>
    <col min="12323" max="12323" width="9.88671875" style="42" customWidth="1"/>
    <col min="12324" max="12324" width="11.5546875" style="42" customWidth="1"/>
    <col min="12325" max="12325" width="12.33203125" style="42" customWidth="1"/>
    <col min="12326" max="12326" width="7.44140625" style="42" customWidth="1"/>
    <col min="12327" max="12327" width="10" style="42" customWidth="1"/>
    <col min="12328" max="12328" width="11.44140625" style="42" customWidth="1"/>
    <col min="12329" max="12329" width="8.5546875" style="42" customWidth="1"/>
    <col min="12330" max="12330" width="13.109375" style="42" customWidth="1"/>
    <col min="12331" max="12331" width="7.109375" style="42" customWidth="1"/>
    <col min="12332" max="12332" width="9" style="42" customWidth="1"/>
    <col min="12333" max="12333" width="11.33203125" style="42" customWidth="1"/>
    <col min="12334" max="12335" width="9.109375" style="42"/>
    <col min="12336" max="12336" width="7.44140625" style="42" customWidth="1"/>
    <col min="12337" max="12337" width="9.109375" style="42"/>
    <col min="12338" max="12338" width="13.33203125" style="42" customWidth="1"/>
    <col min="12339" max="12339" width="15" style="42" customWidth="1"/>
    <col min="12340" max="12340" width="10.44140625" style="42" customWidth="1"/>
    <col min="12341" max="12341" width="11.5546875" style="42" customWidth="1"/>
    <col min="12342" max="12360" width="9.109375" style="42"/>
    <col min="12361" max="12361" width="7.109375" style="42" customWidth="1"/>
    <col min="12362" max="12362" width="5.6640625" style="42" customWidth="1"/>
    <col min="12363" max="12363" width="5.44140625" style="42" customWidth="1"/>
    <col min="12364" max="12548" width="9.109375" style="42"/>
    <col min="12549" max="12549" width="44.5546875" style="42" customWidth="1"/>
    <col min="12550" max="12550" width="13.33203125" style="42" customWidth="1"/>
    <col min="12551" max="12551" width="10.109375" style="42" customWidth="1"/>
    <col min="12552" max="12552" width="13.6640625" style="42" customWidth="1"/>
    <col min="12553" max="12553" width="10.44140625" style="42" customWidth="1"/>
    <col min="12554" max="12554" width="9.44140625" style="42" bestFit="1" customWidth="1"/>
    <col min="12555" max="12555" width="7.44140625" style="42" bestFit="1" customWidth="1"/>
    <col min="12556" max="12556" width="14.33203125" style="42" bestFit="1" customWidth="1"/>
    <col min="12557" max="12557" width="12.5546875" style="42" bestFit="1" customWidth="1"/>
    <col min="12558" max="12558" width="9.44140625" style="42" customWidth="1"/>
    <col min="12559" max="12559" width="10.44140625" style="42" customWidth="1"/>
    <col min="12560" max="12560" width="11.109375" style="42" bestFit="1" customWidth="1"/>
    <col min="12561" max="12561" width="9.88671875" style="42" bestFit="1" customWidth="1"/>
    <col min="12562" max="12562" width="11.44140625" style="42" bestFit="1" customWidth="1"/>
    <col min="12563" max="12563" width="10.88671875" style="42" customWidth="1"/>
    <col min="12564" max="12564" width="8.109375" style="42" customWidth="1"/>
    <col min="12565" max="12565" width="10.33203125" style="42" customWidth="1"/>
    <col min="12566" max="12566" width="11" style="42" customWidth="1"/>
    <col min="12567" max="12567" width="11.6640625" style="42" customWidth="1"/>
    <col min="12568" max="12568" width="8" style="42" customWidth="1"/>
    <col min="12569" max="12569" width="8.33203125" style="42" customWidth="1"/>
    <col min="12570" max="12571" width="13.44140625" style="42" customWidth="1"/>
    <col min="12572" max="12572" width="13.6640625" style="42" customWidth="1"/>
    <col min="12573" max="12573" width="13.44140625" style="42" customWidth="1"/>
    <col min="12574" max="12574" width="11.44140625" style="42" customWidth="1"/>
    <col min="12575" max="12575" width="10.6640625" style="42" customWidth="1"/>
    <col min="12576" max="12576" width="11.109375" style="42" customWidth="1"/>
    <col min="12577" max="12577" width="9.88671875" style="42" customWidth="1"/>
    <col min="12578" max="12578" width="10.33203125" style="42" customWidth="1"/>
    <col min="12579" max="12579" width="9.88671875" style="42" customWidth="1"/>
    <col min="12580" max="12580" width="11.5546875" style="42" customWidth="1"/>
    <col min="12581" max="12581" width="12.33203125" style="42" customWidth="1"/>
    <col min="12582" max="12582" width="7.44140625" style="42" customWidth="1"/>
    <col min="12583" max="12583" width="10" style="42" customWidth="1"/>
    <col min="12584" max="12584" width="11.44140625" style="42" customWidth="1"/>
    <col min="12585" max="12585" width="8.5546875" style="42" customWidth="1"/>
    <col min="12586" max="12586" width="13.109375" style="42" customWidth="1"/>
    <col min="12587" max="12587" width="7.109375" style="42" customWidth="1"/>
    <col min="12588" max="12588" width="9" style="42" customWidth="1"/>
    <col min="12589" max="12589" width="11.33203125" style="42" customWidth="1"/>
    <col min="12590" max="12591" width="9.109375" style="42"/>
    <col min="12592" max="12592" width="7.44140625" style="42" customWidth="1"/>
    <col min="12593" max="12593" width="9.109375" style="42"/>
    <col min="12594" max="12594" width="13.33203125" style="42" customWidth="1"/>
    <col min="12595" max="12595" width="15" style="42" customWidth="1"/>
    <col min="12596" max="12596" width="10.44140625" style="42" customWidth="1"/>
    <col min="12597" max="12597" width="11.5546875" style="42" customWidth="1"/>
    <col min="12598" max="12616" width="9.109375" style="42"/>
    <col min="12617" max="12617" width="7.109375" style="42" customWidth="1"/>
    <col min="12618" max="12618" width="5.6640625" style="42" customWidth="1"/>
    <col min="12619" max="12619" width="5.44140625" style="42" customWidth="1"/>
    <col min="12620" max="12804" width="9.109375" style="42"/>
    <col min="12805" max="12805" width="44.5546875" style="42" customWidth="1"/>
    <col min="12806" max="12806" width="13.33203125" style="42" customWidth="1"/>
    <col min="12807" max="12807" width="10.109375" style="42" customWidth="1"/>
    <col min="12808" max="12808" width="13.6640625" style="42" customWidth="1"/>
    <col min="12809" max="12809" width="10.44140625" style="42" customWidth="1"/>
    <col min="12810" max="12810" width="9.44140625" style="42" bestFit="1" customWidth="1"/>
    <col min="12811" max="12811" width="7.44140625" style="42" bestFit="1" customWidth="1"/>
    <col min="12812" max="12812" width="14.33203125" style="42" bestFit="1" customWidth="1"/>
    <col min="12813" max="12813" width="12.5546875" style="42" bestFit="1" customWidth="1"/>
    <col min="12814" max="12814" width="9.44140625" style="42" customWidth="1"/>
    <col min="12815" max="12815" width="10.44140625" style="42" customWidth="1"/>
    <col min="12816" max="12816" width="11.109375" style="42" bestFit="1" customWidth="1"/>
    <col min="12817" max="12817" width="9.88671875" style="42" bestFit="1" customWidth="1"/>
    <col min="12818" max="12818" width="11.44140625" style="42" bestFit="1" customWidth="1"/>
    <col min="12819" max="12819" width="10.88671875" style="42" customWidth="1"/>
    <col min="12820" max="12820" width="8.109375" style="42" customWidth="1"/>
    <col min="12821" max="12821" width="10.33203125" style="42" customWidth="1"/>
    <col min="12822" max="12822" width="11" style="42" customWidth="1"/>
    <col min="12823" max="12823" width="11.6640625" style="42" customWidth="1"/>
    <col min="12824" max="12824" width="8" style="42" customWidth="1"/>
    <col min="12825" max="12825" width="8.33203125" style="42" customWidth="1"/>
    <col min="12826" max="12827" width="13.44140625" style="42" customWidth="1"/>
    <col min="12828" max="12828" width="13.6640625" style="42" customWidth="1"/>
    <col min="12829" max="12829" width="13.44140625" style="42" customWidth="1"/>
    <col min="12830" max="12830" width="11.44140625" style="42" customWidth="1"/>
    <col min="12831" max="12831" width="10.6640625" style="42" customWidth="1"/>
    <col min="12832" max="12832" width="11.109375" style="42" customWidth="1"/>
    <col min="12833" max="12833" width="9.88671875" style="42" customWidth="1"/>
    <col min="12834" max="12834" width="10.33203125" style="42" customWidth="1"/>
    <col min="12835" max="12835" width="9.88671875" style="42" customWidth="1"/>
    <col min="12836" max="12836" width="11.5546875" style="42" customWidth="1"/>
    <col min="12837" max="12837" width="12.33203125" style="42" customWidth="1"/>
    <col min="12838" max="12838" width="7.44140625" style="42" customWidth="1"/>
    <col min="12839" max="12839" width="10" style="42" customWidth="1"/>
    <col min="12840" max="12840" width="11.44140625" style="42" customWidth="1"/>
    <col min="12841" max="12841" width="8.5546875" style="42" customWidth="1"/>
    <col min="12842" max="12842" width="13.109375" style="42" customWidth="1"/>
    <col min="12843" max="12843" width="7.109375" style="42" customWidth="1"/>
    <col min="12844" max="12844" width="9" style="42" customWidth="1"/>
    <col min="12845" max="12845" width="11.33203125" style="42" customWidth="1"/>
    <col min="12846" max="12847" width="9.109375" style="42"/>
    <col min="12848" max="12848" width="7.44140625" style="42" customWidth="1"/>
    <col min="12849" max="12849" width="9.109375" style="42"/>
    <col min="12850" max="12850" width="13.33203125" style="42" customWidth="1"/>
    <col min="12851" max="12851" width="15" style="42" customWidth="1"/>
    <col min="12852" max="12852" width="10.44140625" style="42" customWidth="1"/>
    <col min="12853" max="12853" width="11.5546875" style="42" customWidth="1"/>
    <col min="12854" max="12872" width="9.109375" style="42"/>
    <col min="12873" max="12873" width="7.109375" style="42" customWidth="1"/>
    <col min="12874" max="12874" width="5.6640625" style="42" customWidth="1"/>
    <col min="12875" max="12875" width="5.44140625" style="42" customWidth="1"/>
    <col min="12876" max="13060" width="9.109375" style="42"/>
    <col min="13061" max="13061" width="44.5546875" style="42" customWidth="1"/>
    <col min="13062" max="13062" width="13.33203125" style="42" customWidth="1"/>
    <col min="13063" max="13063" width="10.109375" style="42" customWidth="1"/>
    <col min="13064" max="13064" width="13.6640625" style="42" customWidth="1"/>
    <col min="13065" max="13065" width="10.44140625" style="42" customWidth="1"/>
    <col min="13066" max="13066" width="9.44140625" style="42" bestFit="1" customWidth="1"/>
    <col min="13067" max="13067" width="7.44140625" style="42" bestFit="1" customWidth="1"/>
    <col min="13068" max="13068" width="14.33203125" style="42" bestFit="1" customWidth="1"/>
    <col min="13069" max="13069" width="12.5546875" style="42" bestFit="1" customWidth="1"/>
    <col min="13070" max="13070" width="9.44140625" style="42" customWidth="1"/>
    <col min="13071" max="13071" width="10.44140625" style="42" customWidth="1"/>
    <col min="13072" max="13072" width="11.109375" style="42" bestFit="1" customWidth="1"/>
    <col min="13073" max="13073" width="9.88671875" style="42" bestFit="1" customWidth="1"/>
    <col min="13074" max="13074" width="11.44140625" style="42" bestFit="1" customWidth="1"/>
    <col min="13075" max="13075" width="10.88671875" style="42" customWidth="1"/>
    <col min="13076" max="13076" width="8.109375" style="42" customWidth="1"/>
    <col min="13077" max="13077" width="10.33203125" style="42" customWidth="1"/>
    <col min="13078" max="13078" width="11" style="42" customWidth="1"/>
    <col min="13079" max="13079" width="11.6640625" style="42" customWidth="1"/>
    <col min="13080" max="13080" width="8" style="42" customWidth="1"/>
    <col min="13081" max="13081" width="8.33203125" style="42" customWidth="1"/>
    <col min="13082" max="13083" width="13.44140625" style="42" customWidth="1"/>
    <col min="13084" max="13084" width="13.6640625" style="42" customWidth="1"/>
    <col min="13085" max="13085" width="13.44140625" style="42" customWidth="1"/>
    <col min="13086" max="13086" width="11.44140625" style="42" customWidth="1"/>
    <col min="13087" max="13087" width="10.6640625" style="42" customWidth="1"/>
    <col min="13088" max="13088" width="11.109375" style="42" customWidth="1"/>
    <col min="13089" max="13089" width="9.88671875" style="42" customWidth="1"/>
    <col min="13090" max="13090" width="10.33203125" style="42" customWidth="1"/>
    <col min="13091" max="13091" width="9.88671875" style="42" customWidth="1"/>
    <col min="13092" max="13092" width="11.5546875" style="42" customWidth="1"/>
    <col min="13093" max="13093" width="12.33203125" style="42" customWidth="1"/>
    <col min="13094" max="13094" width="7.44140625" style="42" customWidth="1"/>
    <col min="13095" max="13095" width="10" style="42" customWidth="1"/>
    <col min="13096" max="13096" width="11.44140625" style="42" customWidth="1"/>
    <col min="13097" max="13097" width="8.5546875" style="42" customWidth="1"/>
    <col min="13098" max="13098" width="13.109375" style="42" customWidth="1"/>
    <col min="13099" max="13099" width="7.109375" style="42" customWidth="1"/>
    <col min="13100" max="13100" width="9" style="42" customWidth="1"/>
    <col min="13101" max="13101" width="11.33203125" style="42" customWidth="1"/>
    <col min="13102" max="13103" width="9.109375" style="42"/>
    <col min="13104" max="13104" width="7.44140625" style="42" customWidth="1"/>
    <col min="13105" max="13105" width="9.109375" style="42"/>
    <col min="13106" max="13106" width="13.33203125" style="42" customWidth="1"/>
    <col min="13107" max="13107" width="15" style="42" customWidth="1"/>
    <col min="13108" max="13108" width="10.44140625" style="42" customWidth="1"/>
    <col min="13109" max="13109" width="11.5546875" style="42" customWidth="1"/>
    <col min="13110" max="13128" width="9.109375" style="42"/>
    <col min="13129" max="13129" width="7.109375" style="42" customWidth="1"/>
    <col min="13130" max="13130" width="5.6640625" style="42" customWidth="1"/>
    <col min="13131" max="13131" width="5.44140625" style="42" customWidth="1"/>
    <col min="13132" max="13316" width="9.109375" style="42"/>
    <col min="13317" max="13317" width="44.5546875" style="42" customWidth="1"/>
    <col min="13318" max="13318" width="13.33203125" style="42" customWidth="1"/>
    <col min="13319" max="13319" width="10.109375" style="42" customWidth="1"/>
    <col min="13320" max="13320" width="13.6640625" style="42" customWidth="1"/>
    <col min="13321" max="13321" width="10.44140625" style="42" customWidth="1"/>
    <col min="13322" max="13322" width="9.44140625" style="42" bestFit="1" customWidth="1"/>
    <col min="13323" max="13323" width="7.44140625" style="42" bestFit="1" customWidth="1"/>
    <col min="13324" max="13324" width="14.33203125" style="42" bestFit="1" customWidth="1"/>
    <col min="13325" max="13325" width="12.5546875" style="42" bestFit="1" customWidth="1"/>
    <col min="13326" max="13326" width="9.44140625" style="42" customWidth="1"/>
    <col min="13327" max="13327" width="10.44140625" style="42" customWidth="1"/>
    <col min="13328" max="13328" width="11.109375" style="42" bestFit="1" customWidth="1"/>
    <col min="13329" max="13329" width="9.88671875" style="42" bestFit="1" customWidth="1"/>
    <col min="13330" max="13330" width="11.44140625" style="42" bestFit="1" customWidth="1"/>
    <col min="13331" max="13331" width="10.88671875" style="42" customWidth="1"/>
    <col min="13332" max="13332" width="8.109375" style="42" customWidth="1"/>
    <col min="13333" max="13333" width="10.33203125" style="42" customWidth="1"/>
    <col min="13334" max="13334" width="11" style="42" customWidth="1"/>
    <col min="13335" max="13335" width="11.6640625" style="42" customWidth="1"/>
    <col min="13336" max="13336" width="8" style="42" customWidth="1"/>
    <col min="13337" max="13337" width="8.33203125" style="42" customWidth="1"/>
    <col min="13338" max="13339" width="13.44140625" style="42" customWidth="1"/>
    <col min="13340" max="13340" width="13.6640625" style="42" customWidth="1"/>
    <col min="13341" max="13341" width="13.44140625" style="42" customWidth="1"/>
    <col min="13342" max="13342" width="11.44140625" style="42" customWidth="1"/>
    <col min="13343" max="13343" width="10.6640625" style="42" customWidth="1"/>
    <col min="13344" max="13344" width="11.109375" style="42" customWidth="1"/>
    <col min="13345" max="13345" width="9.88671875" style="42" customWidth="1"/>
    <col min="13346" max="13346" width="10.33203125" style="42" customWidth="1"/>
    <col min="13347" max="13347" width="9.88671875" style="42" customWidth="1"/>
    <col min="13348" max="13348" width="11.5546875" style="42" customWidth="1"/>
    <col min="13349" max="13349" width="12.33203125" style="42" customWidth="1"/>
    <col min="13350" max="13350" width="7.44140625" style="42" customWidth="1"/>
    <col min="13351" max="13351" width="10" style="42" customWidth="1"/>
    <col min="13352" max="13352" width="11.44140625" style="42" customWidth="1"/>
    <col min="13353" max="13353" width="8.5546875" style="42" customWidth="1"/>
    <col min="13354" max="13354" width="13.109375" style="42" customWidth="1"/>
    <col min="13355" max="13355" width="7.109375" style="42" customWidth="1"/>
    <col min="13356" max="13356" width="9" style="42" customWidth="1"/>
    <col min="13357" max="13357" width="11.33203125" style="42" customWidth="1"/>
    <col min="13358" max="13359" width="9.109375" style="42"/>
    <col min="13360" max="13360" width="7.44140625" style="42" customWidth="1"/>
    <col min="13361" max="13361" width="9.109375" style="42"/>
    <col min="13362" max="13362" width="13.33203125" style="42" customWidth="1"/>
    <col min="13363" max="13363" width="15" style="42" customWidth="1"/>
    <col min="13364" max="13364" width="10.44140625" style="42" customWidth="1"/>
    <col min="13365" max="13365" width="11.5546875" style="42" customWidth="1"/>
    <col min="13366" max="13384" width="9.109375" style="42"/>
    <col min="13385" max="13385" width="7.109375" style="42" customWidth="1"/>
    <col min="13386" max="13386" width="5.6640625" style="42" customWidth="1"/>
    <col min="13387" max="13387" width="5.44140625" style="42" customWidth="1"/>
    <col min="13388" max="13572" width="9.109375" style="42"/>
    <col min="13573" max="13573" width="44.5546875" style="42" customWidth="1"/>
    <col min="13574" max="13574" width="13.33203125" style="42" customWidth="1"/>
    <col min="13575" max="13575" width="10.109375" style="42" customWidth="1"/>
    <col min="13576" max="13576" width="13.6640625" style="42" customWidth="1"/>
    <col min="13577" max="13577" width="10.44140625" style="42" customWidth="1"/>
    <col min="13578" max="13578" width="9.44140625" style="42" bestFit="1" customWidth="1"/>
    <col min="13579" max="13579" width="7.44140625" style="42" bestFit="1" customWidth="1"/>
    <col min="13580" max="13580" width="14.33203125" style="42" bestFit="1" customWidth="1"/>
    <col min="13581" max="13581" width="12.5546875" style="42" bestFit="1" customWidth="1"/>
    <col min="13582" max="13582" width="9.44140625" style="42" customWidth="1"/>
    <col min="13583" max="13583" width="10.44140625" style="42" customWidth="1"/>
    <col min="13584" max="13584" width="11.109375" style="42" bestFit="1" customWidth="1"/>
    <col min="13585" max="13585" width="9.88671875" style="42" bestFit="1" customWidth="1"/>
    <col min="13586" max="13586" width="11.44140625" style="42" bestFit="1" customWidth="1"/>
    <col min="13587" max="13587" width="10.88671875" style="42" customWidth="1"/>
    <col min="13588" max="13588" width="8.109375" style="42" customWidth="1"/>
    <col min="13589" max="13589" width="10.33203125" style="42" customWidth="1"/>
    <col min="13590" max="13590" width="11" style="42" customWidth="1"/>
    <col min="13591" max="13591" width="11.6640625" style="42" customWidth="1"/>
    <col min="13592" max="13592" width="8" style="42" customWidth="1"/>
    <col min="13593" max="13593" width="8.33203125" style="42" customWidth="1"/>
    <col min="13594" max="13595" width="13.44140625" style="42" customWidth="1"/>
    <col min="13596" max="13596" width="13.6640625" style="42" customWidth="1"/>
    <col min="13597" max="13597" width="13.44140625" style="42" customWidth="1"/>
    <col min="13598" max="13598" width="11.44140625" style="42" customWidth="1"/>
    <col min="13599" max="13599" width="10.6640625" style="42" customWidth="1"/>
    <col min="13600" max="13600" width="11.109375" style="42" customWidth="1"/>
    <col min="13601" max="13601" width="9.88671875" style="42" customWidth="1"/>
    <col min="13602" max="13602" width="10.33203125" style="42" customWidth="1"/>
    <col min="13603" max="13603" width="9.88671875" style="42" customWidth="1"/>
    <col min="13604" max="13604" width="11.5546875" style="42" customWidth="1"/>
    <col min="13605" max="13605" width="12.33203125" style="42" customWidth="1"/>
    <col min="13606" max="13606" width="7.44140625" style="42" customWidth="1"/>
    <col min="13607" max="13607" width="10" style="42" customWidth="1"/>
    <col min="13608" max="13608" width="11.44140625" style="42" customWidth="1"/>
    <col min="13609" max="13609" width="8.5546875" style="42" customWidth="1"/>
    <col min="13610" max="13610" width="13.109375" style="42" customWidth="1"/>
    <col min="13611" max="13611" width="7.109375" style="42" customWidth="1"/>
    <col min="13612" max="13612" width="9" style="42" customWidth="1"/>
    <col min="13613" max="13613" width="11.33203125" style="42" customWidth="1"/>
    <col min="13614" max="13615" width="9.109375" style="42"/>
    <col min="13616" max="13616" width="7.44140625" style="42" customWidth="1"/>
    <col min="13617" max="13617" width="9.109375" style="42"/>
    <col min="13618" max="13618" width="13.33203125" style="42" customWidth="1"/>
    <col min="13619" max="13619" width="15" style="42" customWidth="1"/>
    <col min="13620" max="13620" width="10.44140625" style="42" customWidth="1"/>
    <col min="13621" max="13621" width="11.5546875" style="42" customWidth="1"/>
    <col min="13622" max="13640" width="9.109375" style="42"/>
    <col min="13641" max="13641" width="7.109375" style="42" customWidth="1"/>
    <col min="13642" max="13642" width="5.6640625" style="42" customWidth="1"/>
    <col min="13643" max="13643" width="5.44140625" style="42" customWidth="1"/>
    <col min="13644" max="13828" width="9.109375" style="42"/>
    <col min="13829" max="13829" width="44.5546875" style="42" customWidth="1"/>
    <col min="13830" max="13830" width="13.33203125" style="42" customWidth="1"/>
    <col min="13831" max="13831" width="10.109375" style="42" customWidth="1"/>
    <col min="13832" max="13832" width="13.6640625" style="42" customWidth="1"/>
    <col min="13833" max="13833" width="10.44140625" style="42" customWidth="1"/>
    <col min="13834" max="13834" width="9.44140625" style="42" bestFit="1" customWidth="1"/>
    <col min="13835" max="13835" width="7.44140625" style="42" bestFit="1" customWidth="1"/>
    <col min="13836" max="13836" width="14.33203125" style="42" bestFit="1" customWidth="1"/>
    <col min="13837" max="13837" width="12.5546875" style="42" bestFit="1" customWidth="1"/>
    <col min="13838" max="13838" width="9.44140625" style="42" customWidth="1"/>
    <col min="13839" max="13839" width="10.44140625" style="42" customWidth="1"/>
    <col min="13840" max="13840" width="11.109375" style="42" bestFit="1" customWidth="1"/>
    <col min="13841" max="13841" width="9.88671875" style="42" bestFit="1" customWidth="1"/>
    <col min="13842" max="13842" width="11.44140625" style="42" bestFit="1" customWidth="1"/>
    <col min="13843" max="13843" width="10.88671875" style="42" customWidth="1"/>
    <col min="13844" max="13844" width="8.109375" style="42" customWidth="1"/>
    <col min="13845" max="13845" width="10.33203125" style="42" customWidth="1"/>
    <col min="13846" max="13846" width="11" style="42" customWidth="1"/>
    <col min="13847" max="13847" width="11.6640625" style="42" customWidth="1"/>
    <col min="13848" max="13848" width="8" style="42" customWidth="1"/>
    <col min="13849" max="13849" width="8.33203125" style="42" customWidth="1"/>
    <col min="13850" max="13851" width="13.44140625" style="42" customWidth="1"/>
    <col min="13852" max="13852" width="13.6640625" style="42" customWidth="1"/>
    <col min="13853" max="13853" width="13.44140625" style="42" customWidth="1"/>
    <col min="13854" max="13854" width="11.44140625" style="42" customWidth="1"/>
    <col min="13855" max="13855" width="10.6640625" style="42" customWidth="1"/>
    <col min="13856" max="13856" width="11.109375" style="42" customWidth="1"/>
    <col min="13857" max="13857" width="9.88671875" style="42" customWidth="1"/>
    <col min="13858" max="13858" width="10.33203125" style="42" customWidth="1"/>
    <col min="13859" max="13859" width="9.88671875" style="42" customWidth="1"/>
    <col min="13860" max="13860" width="11.5546875" style="42" customWidth="1"/>
    <col min="13861" max="13861" width="12.33203125" style="42" customWidth="1"/>
    <col min="13862" max="13862" width="7.44140625" style="42" customWidth="1"/>
    <col min="13863" max="13863" width="10" style="42" customWidth="1"/>
    <col min="13864" max="13864" width="11.44140625" style="42" customWidth="1"/>
    <col min="13865" max="13865" width="8.5546875" style="42" customWidth="1"/>
    <col min="13866" max="13866" width="13.109375" style="42" customWidth="1"/>
    <col min="13867" max="13867" width="7.109375" style="42" customWidth="1"/>
    <col min="13868" max="13868" width="9" style="42" customWidth="1"/>
    <col min="13869" max="13869" width="11.33203125" style="42" customWidth="1"/>
    <col min="13870" max="13871" width="9.109375" style="42"/>
    <col min="13872" max="13872" width="7.44140625" style="42" customWidth="1"/>
    <col min="13873" max="13873" width="9.109375" style="42"/>
    <col min="13874" max="13874" width="13.33203125" style="42" customWidth="1"/>
    <col min="13875" max="13875" width="15" style="42" customWidth="1"/>
    <col min="13876" max="13876" width="10.44140625" style="42" customWidth="1"/>
    <col min="13877" max="13877" width="11.5546875" style="42" customWidth="1"/>
    <col min="13878" max="13896" width="9.109375" style="42"/>
    <col min="13897" max="13897" width="7.109375" style="42" customWidth="1"/>
    <col min="13898" max="13898" width="5.6640625" style="42" customWidth="1"/>
    <col min="13899" max="13899" width="5.44140625" style="42" customWidth="1"/>
    <col min="13900" max="14084" width="9.109375" style="42"/>
    <col min="14085" max="14085" width="44.5546875" style="42" customWidth="1"/>
    <col min="14086" max="14086" width="13.33203125" style="42" customWidth="1"/>
    <col min="14087" max="14087" width="10.109375" style="42" customWidth="1"/>
    <col min="14088" max="14088" width="13.6640625" style="42" customWidth="1"/>
    <col min="14089" max="14089" width="10.44140625" style="42" customWidth="1"/>
    <col min="14090" max="14090" width="9.44140625" style="42" bestFit="1" customWidth="1"/>
    <col min="14091" max="14091" width="7.44140625" style="42" bestFit="1" customWidth="1"/>
    <col min="14092" max="14092" width="14.33203125" style="42" bestFit="1" customWidth="1"/>
    <col min="14093" max="14093" width="12.5546875" style="42" bestFit="1" customWidth="1"/>
    <col min="14094" max="14094" width="9.44140625" style="42" customWidth="1"/>
    <col min="14095" max="14095" width="10.44140625" style="42" customWidth="1"/>
    <col min="14096" max="14096" width="11.109375" style="42" bestFit="1" customWidth="1"/>
    <col min="14097" max="14097" width="9.88671875" style="42" bestFit="1" customWidth="1"/>
    <col min="14098" max="14098" width="11.44140625" style="42" bestFit="1" customWidth="1"/>
    <col min="14099" max="14099" width="10.88671875" style="42" customWidth="1"/>
    <col min="14100" max="14100" width="8.109375" style="42" customWidth="1"/>
    <col min="14101" max="14101" width="10.33203125" style="42" customWidth="1"/>
    <col min="14102" max="14102" width="11" style="42" customWidth="1"/>
    <col min="14103" max="14103" width="11.6640625" style="42" customWidth="1"/>
    <col min="14104" max="14104" width="8" style="42" customWidth="1"/>
    <col min="14105" max="14105" width="8.33203125" style="42" customWidth="1"/>
    <col min="14106" max="14107" width="13.44140625" style="42" customWidth="1"/>
    <col min="14108" max="14108" width="13.6640625" style="42" customWidth="1"/>
    <col min="14109" max="14109" width="13.44140625" style="42" customWidth="1"/>
    <col min="14110" max="14110" width="11.44140625" style="42" customWidth="1"/>
    <col min="14111" max="14111" width="10.6640625" style="42" customWidth="1"/>
    <col min="14112" max="14112" width="11.109375" style="42" customWidth="1"/>
    <col min="14113" max="14113" width="9.88671875" style="42" customWidth="1"/>
    <col min="14114" max="14114" width="10.33203125" style="42" customWidth="1"/>
    <col min="14115" max="14115" width="9.88671875" style="42" customWidth="1"/>
    <col min="14116" max="14116" width="11.5546875" style="42" customWidth="1"/>
    <col min="14117" max="14117" width="12.33203125" style="42" customWidth="1"/>
    <col min="14118" max="14118" width="7.44140625" style="42" customWidth="1"/>
    <col min="14119" max="14119" width="10" style="42" customWidth="1"/>
    <col min="14120" max="14120" width="11.44140625" style="42" customWidth="1"/>
    <col min="14121" max="14121" width="8.5546875" style="42" customWidth="1"/>
    <col min="14122" max="14122" width="13.109375" style="42" customWidth="1"/>
    <col min="14123" max="14123" width="7.109375" style="42" customWidth="1"/>
    <col min="14124" max="14124" width="9" style="42" customWidth="1"/>
    <col min="14125" max="14125" width="11.33203125" style="42" customWidth="1"/>
    <col min="14126" max="14127" width="9.109375" style="42"/>
    <col min="14128" max="14128" width="7.44140625" style="42" customWidth="1"/>
    <col min="14129" max="14129" width="9.109375" style="42"/>
    <col min="14130" max="14130" width="13.33203125" style="42" customWidth="1"/>
    <col min="14131" max="14131" width="15" style="42" customWidth="1"/>
    <col min="14132" max="14132" width="10.44140625" style="42" customWidth="1"/>
    <col min="14133" max="14133" width="11.5546875" style="42" customWidth="1"/>
    <col min="14134" max="14152" width="9.109375" style="42"/>
    <col min="14153" max="14153" width="7.109375" style="42" customWidth="1"/>
    <col min="14154" max="14154" width="5.6640625" style="42" customWidth="1"/>
    <col min="14155" max="14155" width="5.44140625" style="42" customWidth="1"/>
    <col min="14156" max="14340" width="9.109375" style="42"/>
    <col min="14341" max="14341" width="44.5546875" style="42" customWidth="1"/>
    <col min="14342" max="14342" width="13.33203125" style="42" customWidth="1"/>
    <col min="14343" max="14343" width="10.109375" style="42" customWidth="1"/>
    <col min="14344" max="14344" width="13.6640625" style="42" customWidth="1"/>
    <col min="14345" max="14345" width="10.44140625" style="42" customWidth="1"/>
    <col min="14346" max="14346" width="9.44140625" style="42" bestFit="1" customWidth="1"/>
    <col min="14347" max="14347" width="7.44140625" style="42" bestFit="1" customWidth="1"/>
    <col min="14348" max="14348" width="14.33203125" style="42" bestFit="1" customWidth="1"/>
    <col min="14349" max="14349" width="12.5546875" style="42" bestFit="1" customWidth="1"/>
    <col min="14350" max="14350" width="9.44140625" style="42" customWidth="1"/>
    <col min="14351" max="14351" width="10.44140625" style="42" customWidth="1"/>
    <col min="14352" max="14352" width="11.109375" style="42" bestFit="1" customWidth="1"/>
    <col min="14353" max="14353" width="9.88671875" style="42" bestFit="1" customWidth="1"/>
    <col min="14354" max="14354" width="11.44140625" style="42" bestFit="1" customWidth="1"/>
    <col min="14355" max="14355" width="10.88671875" style="42" customWidth="1"/>
    <col min="14356" max="14356" width="8.109375" style="42" customWidth="1"/>
    <col min="14357" max="14357" width="10.33203125" style="42" customWidth="1"/>
    <col min="14358" max="14358" width="11" style="42" customWidth="1"/>
    <col min="14359" max="14359" width="11.6640625" style="42" customWidth="1"/>
    <col min="14360" max="14360" width="8" style="42" customWidth="1"/>
    <col min="14361" max="14361" width="8.33203125" style="42" customWidth="1"/>
    <col min="14362" max="14363" width="13.44140625" style="42" customWidth="1"/>
    <col min="14364" max="14364" width="13.6640625" style="42" customWidth="1"/>
    <col min="14365" max="14365" width="13.44140625" style="42" customWidth="1"/>
    <col min="14366" max="14366" width="11.44140625" style="42" customWidth="1"/>
    <col min="14367" max="14367" width="10.6640625" style="42" customWidth="1"/>
    <col min="14368" max="14368" width="11.109375" style="42" customWidth="1"/>
    <col min="14369" max="14369" width="9.88671875" style="42" customWidth="1"/>
    <col min="14370" max="14370" width="10.33203125" style="42" customWidth="1"/>
    <col min="14371" max="14371" width="9.88671875" style="42" customWidth="1"/>
    <col min="14372" max="14372" width="11.5546875" style="42" customWidth="1"/>
    <col min="14373" max="14373" width="12.33203125" style="42" customWidth="1"/>
    <col min="14374" max="14374" width="7.44140625" style="42" customWidth="1"/>
    <col min="14375" max="14375" width="10" style="42" customWidth="1"/>
    <col min="14376" max="14376" width="11.44140625" style="42" customWidth="1"/>
    <col min="14377" max="14377" width="8.5546875" style="42" customWidth="1"/>
    <col min="14378" max="14378" width="13.109375" style="42" customWidth="1"/>
    <col min="14379" max="14379" width="7.109375" style="42" customWidth="1"/>
    <col min="14380" max="14380" width="9" style="42" customWidth="1"/>
    <col min="14381" max="14381" width="11.33203125" style="42" customWidth="1"/>
    <col min="14382" max="14383" width="9.109375" style="42"/>
    <col min="14384" max="14384" width="7.44140625" style="42" customWidth="1"/>
    <col min="14385" max="14385" width="9.109375" style="42"/>
    <col min="14386" max="14386" width="13.33203125" style="42" customWidth="1"/>
    <col min="14387" max="14387" width="15" style="42" customWidth="1"/>
    <col min="14388" max="14388" width="10.44140625" style="42" customWidth="1"/>
    <col min="14389" max="14389" width="11.5546875" style="42" customWidth="1"/>
    <col min="14390" max="14408" width="9.109375" style="42"/>
    <col min="14409" max="14409" width="7.109375" style="42" customWidth="1"/>
    <col min="14410" max="14410" width="5.6640625" style="42" customWidth="1"/>
    <col min="14411" max="14411" width="5.44140625" style="42" customWidth="1"/>
    <col min="14412" max="14596" width="9.109375" style="42"/>
    <col min="14597" max="14597" width="44.5546875" style="42" customWidth="1"/>
    <col min="14598" max="14598" width="13.33203125" style="42" customWidth="1"/>
    <col min="14599" max="14599" width="10.109375" style="42" customWidth="1"/>
    <col min="14600" max="14600" width="13.6640625" style="42" customWidth="1"/>
    <col min="14601" max="14601" width="10.44140625" style="42" customWidth="1"/>
    <col min="14602" max="14602" width="9.44140625" style="42" bestFit="1" customWidth="1"/>
    <col min="14603" max="14603" width="7.44140625" style="42" bestFit="1" customWidth="1"/>
    <col min="14604" max="14604" width="14.33203125" style="42" bestFit="1" customWidth="1"/>
    <col min="14605" max="14605" width="12.5546875" style="42" bestFit="1" customWidth="1"/>
    <col min="14606" max="14606" width="9.44140625" style="42" customWidth="1"/>
    <col min="14607" max="14607" width="10.44140625" style="42" customWidth="1"/>
    <col min="14608" max="14608" width="11.109375" style="42" bestFit="1" customWidth="1"/>
    <col min="14609" max="14609" width="9.88671875" style="42" bestFit="1" customWidth="1"/>
    <col min="14610" max="14610" width="11.44140625" style="42" bestFit="1" customWidth="1"/>
    <col min="14611" max="14611" width="10.88671875" style="42" customWidth="1"/>
    <col min="14612" max="14612" width="8.109375" style="42" customWidth="1"/>
    <col min="14613" max="14613" width="10.33203125" style="42" customWidth="1"/>
    <col min="14614" max="14614" width="11" style="42" customWidth="1"/>
    <col min="14615" max="14615" width="11.6640625" style="42" customWidth="1"/>
    <col min="14616" max="14616" width="8" style="42" customWidth="1"/>
    <col min="14617" max="14617" width="8.33203125" style="42" customWidth="1"/>
    <col min="14618" max="14619" width="13.44140625" style="42" customWidth="1"/>
    <col min="14620" max="14620" width="13.6640625" style="42" customWidth="1"/>
    <col min="14621" max="14621" width="13.44140625" style="42" customWidth="1"/>
    <col min="14622" max="14622" width="11.44140625" style="42" customWidth="1"/>
    <col min="14623" max="14623" width="10.6640625" style="42" customWidth="1"/>
    <col min="14624" max="14624" width="11.109375" style="42" customWidth="1"/>
    <col min="14625" max="14625" width="9.88671875" style="42" customWidth="1"/>
    <col min="14626" max="14626" width="10.33203125" style="42" customWidth="1"/>
    <col min="14627" max="14627" width="9.88671875" style="42" customWidth="1"/>
    <col min="14628" max="14628" width="11.5546875" style="42" customWidth="1"/>
    <col min="14629" max="14629" width="12.33203125" style="42" customWidth="1"/>
    <col min="14630" max="14630" width="7.44140625" style="42" customWidth="1"/>
    <col min="14631" max="14631" width="10" style="42" customWidth="1"/>
    <col min="14632" max="14632" width="11.44140625" style="42" customWidth="1"/>
    <col min="14633" max="14633" width="8.5546875" style="42" customWidth="1"/>
    <col min="14634" max="14634" width="13.109375" style="42" customWidth="1"/>
    <col min="14635" max="14635" width="7.109375" style="42" customWidth="1"/>
    <col min="14636" max="14636" width="9" style="42" customWidth="1"/>
    <col min="14637" max="14637" width="11.33203125" style="42" customWidth="1"/>
    <col min="14638" max="14639" width="9.109375" style="42"/>
    <col min="14640" max="14640" width="7.44140625" style="42" customWidth="1"/>
    <col min="14641" max="14641" width="9.109375" style="42"/>
    <col min="14642" max="14642" width="13.33203125" style="42" customWidth="1"/>
    <col min="14643" max="14643" width="15" style="42" customWidth="1"/>
    <col min="14644" max="14644" width="10.44140625" style="42" customWidth="1"/>
    <col min="14645" max="14645" width="11.5546875" style="42" customWidth="1"/>
    <col min="14646" max="14664" width="9.109375" style="42"/>
    <col min="14665" max="14665" width="7.109375" style="42" customWidth="1"/>
    <col min="14666" max="14666" width="5.6640625" style="42" customWidth="1"/>
    <col min="14667" max="14667" width="5.44140625" style="42" customWidth="1"/>
    <col min="14668" max="14852" width="9.109375" style="42"/>
    <col min="14853" max="14853" width="44.5546875" style="42" customWidth="1"/>
    <col min="14854" max="14854" width="13.33203125" style="42" customWidth="1"/>
    <col min="14855" max="14855" width="10.109375" style="42" customWidth="1"/>
    <col min="14856" max="14856" width="13.6640625" style="42" customWidth="1"/>
    <col min="14857" max="14857" width="10.44140625" style="42" customWidth="1"/>
    <col min="14858" max="14858" width="9.44140625" style="42" bestFit="1" customWidth="1"/>
    <col min="14859" max="14859" width="7.44140625" style="42" bestFit="1" customWidth="1"/>
    <col min="14860" max="14860" width="14.33203125" style="42" bestFit="1" customWidth="1"/>
    <col min="14861" max="14861" width="12.5546875" style="42" bestFit="1" customWidth="1"/>
    <col min="14862" max="14862" width="9.44140625" style="42" customWidth="1"/>
    <col min="14863" max="14863" width="10.44140625" style="42" customWidth="1"/>
    <col min="14864" max="14864" width="11.109375" style="42" bestFit="1" customWidth="1"/>
    <col min="14865" max="14865" width="9.88671875" style="42" bestFit="1" customWidth="1"/>
    <col min="14866" max="14866" width="11.44140625" style="42" bestFit="1" customWidth="1"/>
    <col min="14867" max="14867" width="10.88671875" style="42" customWidth="1"/>
    <col min="14868" max="14868" width="8.109375" style="42" customWidth="1"/>
    <col min="14869" max="14869" width="10.33203125" style="42" customWidth="1"/>
    <col min="14870" max="14870" width="11" style="42" customWidth="1"/>
    <col min="14871" max="14871" width="11.6640625" style="42" customWidth="1"/>
    <col min="14872" max="14872" width="8" style="42" customWidth="1"/>
    <col min="14873" max="14873" width="8.33203125" style="42" customWidth="1"/>
    <col min="14874" max="14875" width="13.44140625" style="42" customWidth="1"/>
    <col min="14876" max="14876" width="13.6640625" style="42" customWidth="1"/>
    <col min="14877" max="14877" width="13.44140625" style="42" customWidth="1"/>
    <col min="14878" max="14878" width="11.44140625" style="42" customWidth="1"/>
    <col min="14879" max="14879" width="10.6640625" style="42" customWidth="1"/>
    <col min="14880" max="14880" width="11.109375" style="42" customWidth="1"/>
    <col min="14881" max="14881" width="9.88671875" style="42" customWidth="1"/>
    <col min="14882" max="14882" width="10.33203125" style="42" customWidth="1"/>
    <col min="14883" max="14883" width="9.88671875" style="42" customWidth="1"/>
    <col min="14884" max="14884" width="11.5546875" style="42" customWidth="1"/>
    <col min="14885" max="14885" width="12.33203125" style="42" customWidth="1"/>
    <col min="14886" max="14886" width="7.44140625" style="42" customWidth="1"/>
    <col min="14887" max="14887" width="10" style="42" customWidth="1"/>
    <col min="14888" max="14888" width="11.44140625" style="42" customWidth="1"/>
    <col min="14889" max="14889" width="8.5546875" style="42" customWidth="1"/>
    <col min="14890" max="14890" width="13.109375" style="42" customWidth="1"/>
    <col min="14891" max="14891" width="7.109375" style="42" customWidth="1"/>
    <col min="14892" max="14892" width="9" style="42" customWidth="1"/>
    <col min="14893" max="14893" width="11.33203125" style="42" customWidth="1"/>
    <col min="14894" max="14895" width="9.109375" style="42"/>
    <col min="14896" max="14896" width="7.44140625" style="42" customWidth="1"/>
    <col min="14897" max="14897" width="9.109375" style="42"/>
    <col min="14898" max="14898" width="13.33203125" style="42" customWidth="1"/>
    <col min="14899" max="14899" width="15" style="42" customWidth="1"/>
    <col min="14900" max="14900" width="10.44140625" style="42" customWidth="1"/>
    <col min="14901" max="14901" width="11.5546875" style="42" customWidth="1"/>
    <col min="14902" max="14920" width="9.109375" style="42"/>
    <col min="14921" max="14921" width="7.109375" style="42" customWidth="1"/>
    <col min="14922" max="14922" width="5.6640625" style="42" customWidth="1"/>
    <col min="14923" max="14923" width="5.44140625" style="42" customWidth="1"/>
    <col min="14924" max="15108" width="9.109375" style="42"/>
    <col min="15109" max="15109" width="44.5546875" style="42" customWidth="1"/>
    <col min="15110" max="15110" width="13.33203125" style="42" customWidth="1"/>
    <col min="15111" max="15111" width="10.109375" style="42" customWidth="1"/>
    <col min="15112" max="15112" width="13.6640625" style="42" customWidth="1"/>
    <col min="15113" max="15113" width="10.44140625" style="42" customWidth="1"/>
    <col min="15114" max="15114" width="9.44140625" style="42" bestFit="1" customWidth="1"/>
    <col min="15115" max="15115" width="7.44140625" style="42" bestFit="1" customWidth="1"/>
    <col min="15116" max="15116" width="14.33203125" style="42" bestFit="1" customWidth="1"/>
    <col min="15117" max="15117" width="12.5546875" style="42" bestFit="1" customWidth="1"/>
    <col min="15118" max="15118" width="9.44140625" style="42" customWidth="1"/>
    <col min="15119" max="15119" width="10.44140625" style="42" customWidth="1"/>
    <col min="15120" max="15120" width="11.109375" style="42" bestFit="1" customWidth="1"/>
    <col min="15121" max="15121" width="9.88671875" style="42" bestFit="1" customWidth="1"/>
    <col min="15122" max="15122" width="11.44140625" style="42" bestFit="1" customWidth="1"/>
    <col min="15123" max="15123" width="10.88671875" style="42" customWidth="1"/>
    <col min="15124" max="15124" width="8.109375" style="42" customWidth="1"/>
    <col min="15125" max="15125" width="10.33203125" style="42" customWidth="1"/>
    <col min="15126" max="15126" width="11" style="42" customWidth="1"/>
    <col min="15127" max="15127" width="11.6640625" style="42" customWidth="1"/>
    <col min="15128" max="15128" width="8" style="42" customWidth="1"/>
    <col min="15129" max="15129" width="8.33203125" style="42" customWidth="1"/>
    <col min="15130" max="15131" width="13.44140625" style="42" customWidth="1"/>
    <col min="15132" max="15132" width="13.6640625" style="42" customWidth="1"/>
    <col min="15133" max="15133" width="13.44140625" style="42" customWidth="1"/>
    <col min="15134" max="15134" width="11.44140625" style="42" customWidth="1"/>
    <col min="15135" max="15135" width="10.6640625" style="42" customWidth="1"/>
    <col min="15136" max="15136" width="11.109375" style="42" customWidth="1"/>
    <col min="15137" max="15137" width="9.88671875" style="42" customWidth="1"/>
    <col min="15138" max="15138" width="10.33203125" style="42" customWidth="1"/>
    <col min="15139" max="15139" width="9.88671875" style="42" customWidth="1"/>
    <col min="15140" max="15140" width="11.5546875" style="42" customWidth="1"/>
    <col min="15141" max="15141" width="12.33203125" style="42" customWidth="1"/>
    <col min="15142" max="15142" width="7.44140625" style="42" customWidth="1"/>
    <col min="15143" max="15143" width="10" style="42" customWidth="1"/>
    <col min="15144" max="15144" width="11.44140625" style="42" customWidth="1"/>
    <col min="15145" max="15145" width="8.5546875" style="42" customWidth="1"/>
    <col min="15146" max="15146" width="13.109375" style="42" customWidth="1"/>
    <col min="15147" max="15147" width="7.109375" style="42" customWidth="1"/>
    <col min="15148" max="15148" width="9" style="42" customWidth="1"/>
    <col min="15149" max="15149" width="11.33203125" style="42" customWidth="1"/>
    <col min="15150" max="15151" width="9.109375" style="42"/>
    <col min="15152" max="15152" width="7.44140625" style="42" customWidth="1"/>
    <col min="15153" max="15153" width="9.109375" style="42"/>
    <col min="15154" max="15154" width="13.33203125" style="42" customWidth="1"/>
    <col min="15155" max="15155" width="15" style="42" customWidth="1"/>
    <col min="15156" max="15156" width="10.44140625" style="42" customWidth="1"/>
    <col min="15157" max="15157" width="11.5546875" style="42" customWidth="1"/>
    <col min="15158" max="15176" width="9.109375" style="42"/>
    <col min="15177" max="15177" width="7.109375" style="42" customWidth="1"/>
    <col min="15178" max="15178" width="5.6640625" style="42" customWidth="1"/>
    <col min="15179" max="15179" width="5.44140625" style="42" customWidth="1"/>
    <col min="15180" max="15364" width="9.109375" style="42"/>
    <col min="15365" max="15365" width="44.5546875" style="42" customWidth="1"/>
    <col min="15366" max="15366" width="13.33203125" style="42" customWidth="1"/>
    <col min="15367" max="15367" width="10.109375" style="42" customWidth="1"/>
    <col min="15368" max="15368" width="13.6640625" style="42" customWidth="1"/>
    <col min="15369" max="15369" width="10.44140625" style="42" customWidth="1"/>
    <col min="15370" max="15370" width="9.44140625" style="42" bestFit="1" customWidth="1"/>
    <col min="15371" max="15371" width="7.44140625" style="42" bestFit="1" customWidth="1"/>
    <col min="15372" max="15372" width="14.33203125" style="42" bestFit="1" customWidth="1"/>
    <col min="15373" max="15373" width="12.5546875" style="42" bestFit="1" customWidth="1"/>
    <col min="15374" max="15374" width="9.44140625" style="42" customWidth="1"/>
    <col min="15375" max="15375" width="10.44140625" style="42" customWidth="1"/>
    <col min="15376" max="15376" width="11.109375" style="42" bestFit="1" customWidth="1"/>
    <col min="15377" max="15377" width="9.88671875" style="42" bestFit="1" customWidth="1"/>
    <col min="15378" max="15378" width="11.44140625" style="42" bestFit="1" customWidth="1"/>
    <col min="15379" max="15379" width="10.88671875" style="42" customWidth="1"/>
    <col min="15380" max="15380" width="8.109375" style="42" customWidth="1"/>
    <col min="15381" max="15381" width="10.33203125" style="42" customWidth="1"/>
    <col min="15382" max="15382" width="11" style="42" customWidth="1"/>
    <col min="15383" max="15383" width="11.6640625" style="42" customWidth="1"/>
    <col min="15384" max="15384" width="8" style="42" customWidth="1"/>
    <col min="15385" max="15385" width="8.33203125" style="42" customWidth="1"/>
    <col min="15386" max="15387" width="13.44140625" style="42" customWidth="1"/>
    <col min="15388" max="15388" width="13.6640625" style="42" customWidth="1"/>
    <col min="15389" max="15389" width="13.44140625" style="42" customWidth="1"/>
    <col min="15390" max="15390" width="11.44140625" style="42" customWidth="1"/>
    <col min="15391" max="15391" width="10.6640625" style="42" customWidth="1"/>
    <col min="15392" max="15392" width="11.109375" style="42" customWidth="1"/>
    <col min="15393" max="15393" width="9.88671875" style="42" customWidth="1"/>
    <col min="15394" max="15394" width="10.33203125" style="42" customWidth="1"/>
    <col min="15395" max="15395" width="9.88671875" style="42" customWidth="1"/>
    <col min="15396" max="15396" width="11.5546875" style="42" customWidth="1"/>
    <col min="15397" max="15397" width="12.33203125" style="42" customWidth="1"/>
    <col min="15398" max="15398" width="7.44140625" style="42" customWidth="1"/>
    <col min="15399" max="15399" width="10" style="42" customWidth="1"/>
    <col min="15400" max="15400" width="11.44140625" style="42" customWidth="1"/>
    <col min="15401" max="15401" width="8.5546875" style="42" customWidth="1"/>
    <col min="15402" max="15402" width="13.109375" style="42" customWidth="1"/>
    <col min="15403" max="15403" width="7.109375" style="42" customWidth="1"/>
    <col min="15404" max="15404" width="9" style="42" customWidth="1"/>
    <col min="15405" max="15405" width="11.33203125" style="42" customWidth="1"/>
    <col min="15406" max="15407" width="9.109375" style="42"/>
    <col min="15408" max="15408" width="7.44140625" style="42" customWidth="1"/>
    <col min="15409" max="15409" width="9.109375" style="42"/>
    <col min="15410" max="15410" width="13.33203125" style="42" customWidth="1"/>
    <col min="15411" max="15411" width="15" style="42" customWidth="1"/>
    <col min="15412" max="15412" width="10.44140625" style="42" customWidth="1"/>
    <col min="15413" max="15413" width="11.5546875" style="42" customWidth="1"/>
    <col min="15414" max="15432" width="9.109375" style="42"/>
    <col min="15433" max="15433" width="7.109375" style="42" customWidth="1"/>
    <col min="15434" max="15434" width="5.6640625" style="42" customWidth="1"/>
    <col min="15435" max="15435" width="5.44140625" style="42" customWidth="1"/>
    <col min="15436" max="15620" width="9.109375" style="42"/>
    <col min="15621" max="15621" width="44.5546875" style="42" customWidth="1"/>
    <col min="15622" max="15622" width="13.33203125" style="42" customWidth="1"/>
    <col min="15623" max="15623" width="10.109375" style="42" customWidth="1"/>
    <col min="15624" max="15624" width="13.6640625" style="42" customWidth="1"/>
    <col min="15625" max="15625" width="10.44140625" style="42" customWidth="1"/>
    <col min="15626" max="15626" width="9.44140625" style="42" bestFit="1" customWidth="1"/>
    <col min="15627" max="15627" width="7.44140625" style="42" bestFit="1" customWidth="1"/>
    <col min="15628" max="15628" width="14.33203125" style="42" bestFit="1" customWidth="1"/>
    <col min="15629" max="15629" width="12.5546875" style="42" bestFit="1" customWidth="1"/>
    <col min="15630" max="15630" width="9.44140625" style="42" customWidth="1"/>
    <col min="15631" max="15631" width="10.44140625" style="42" customWidth="1"/>
    <col min="15632" max="15632" width="11.109375" style="42" bestFit="1" customWidth="1"/>
    <col min="15633" max="15633" width="9.88671875" style="42" bestFit="1" customWidth="1"/>
    <col min="15634" max="15634" width="11.44140625" style="42" bestFit="1" customWidth="1"/>
    <col min="15635" max="15635" width="10.88671875" style="42" customWidth="1"/>
    <col min="15636" max="15636" width="8.109375" style="42" customWidth="1"/>
    <col min="15637" max="15637" width="10.33203125" style="42" customWidth="1"/>
    <col min="15638" max="15638" width="11" style="42" customWidth="1"/>
    <col min="15639" max="15639" width="11.6640625" style="42" customWidth="1"/>
    <col min="15640" max="15640" width="8" style="42" customWidth="1"/>
    <col min="15641" max="15641" width="8.33203125" style="42" customWidth="1"/>
    <col min="15642" max="15643" width="13.44140625" style="42" customWidth="1"/>
    <col min="15644" max="15644" width="13.6640625" style="42" customWidth="1"/>
    <col min="15645" max="15645" width="13.44140625" style="42" customWidth="1"/>
    <col min="15646" max="15646" width="11.44140625" style="42" customWidth="1"/>
    <col min="15647" max="15647" width="10.6640625" style="42" customWidth="1"/>
    <col min="15648" max="15648" width="11.109375" style="42" customWidth="1"/>
    <col min="15649" max="15649" width="9.88671875" style="42" customWidth="1"/>
    <col min="15650" max="15650" width="10.33203125" style="42" customWidth="1"/>
    <col min="15651" max="15651" width="9.88671875" style="42" customWidth="1"/>
    <col min="15652" max="15652" width="11.5546875" style="42" customWidth="1"/>
    <col min="15653" max="15653" width="12.33203125" style="42" customWidth="1"/>
    <col min="15654" max="15654" width="7.44140625" style="42" customWidth="1"/>
    <col min="15655" max="15655" width="10" style="42" customWidth="1"/>
    <col min="15656" max="15656" width="11.44140625" style="42" customWidth="1"/>
    <col min="15657" max="15657" width="8.5546875" style="42" customWidth="1"/>
    <col min="15658" max="15658" width="13.109375" style="42" customWidth="1"/>
    <col min="15659" max="15659" width="7.109375" style="42" customWidth="1"/>
    <col min="15660" max="15660" width="9" style="42" customWidth="1"/>
    <col min="15661" max="15661" width="11.33203125" style="42" customWidth="1"/>
    <col min="15662" max="15663" width="9.109375" style="42"/>
    <col min="15664" max="15664" width="7.44140625" style="42" customWidth="1"/>
    <col min="15665" max="15665" width="9.109375" style="42"/>
    <col min="15666" max="15666" width="13.33203125" style="42" customWidth="1"/>
    <col min="15667" max="15667" width="15" style="42" customWidth="1"/>
    <col min="15668" max="15668" width="10.44140625" style="42" customWidth="1"/>
    <col min="15669" max="15669" width="11.5546875" style="42" customWidth="1"/>
    <col min="15670" max="15688" width="9.109375" style="42"/>
    <col min="15689" max="15689" width="7.109375" style="42" customWidth="1"/>
    <col min="15690" max="15690" width="5.6640625" style="42" customWidth="1"/>
    <col min="15691" max="15691" width="5.44140625" style="42" customWidth="1"/>
    <col min="15692" max="15876" width="9.109375" style="42"/>
    <col min="15877" max="15877" width="44.5546875" style="42" customWidth="1"/>
    <col min="15878" max="15878" width="13.33203125" style="42" customWidth="1"/>
    <col min="15879" max="15879" width="10.109375" style="42" customWidth="1"/>
    <col min="15880" max="15880" width="13.6640625" style="42" customWidth="1"/>
    <col min="15881" max="15881" width="10.44140625" style="42" customWidth="1"/>
    <col min="15882" max="15882" width="9.44140625" style="42" bestFit="1" customWidth="1"/>
    <col min="15883" max="15883" width="7.44140625" style="42" bestFit="1" customWidth="1"/>
    <col min="15884" max="15884" width="14.33203125" style="42" bestFit="1" customWidth="1"/>
    <col min="15885" max="15885" width="12.5546875" style="42" bestFit="1" customWidth="1"/>
    <col min="15886" max="15886" width="9.44140625" style="42" customWidth="1"/>
    <col min="15887" max="15887" width="10.44140625" style="42" customWidth="1"/>
    <col min="15888" max="15888" width="11.109375" style="42" bestFit="1" customWidth="1"/>
    <col min="15889" max="15889" width="9.88671875" style="42" bestFit="1" customWidth="1"/>
    <col min="15890" max="15890" width="11.44140625" style="42" bestFit="1" customWidth="1"/>
    <col min="15891" max="15891" width="10.88671875" style="42" customWidth="1"/>
    <col min="15892" max="15892" width="8.109375" style="42" customWidth="1"/>
    <col min="15893" max="15893" width="10.33203125" style="42" customWidth="1"/>
    <col min="15894" max="15894" width="11" style="42" customWidth="1"/>
    <col min="15895" max="15895" width="11.6640625" style="42" customWidth="1"/>
    <col min="15896" max="15896" width="8" style="42" customWidth="1"/>
    <col min="15897" max="15897" width="8.33203125" style="42" customWidth="1"/>
    <col min="15898" max="15899" width="13.44140625" style="42" customWidth="1"/>
    <col min="15900" max="15900" width="13.6640625" style="42" customWidth="1"/>
    <col min="15901" max="15901" width="13.44140625" style="42" customWidth="1"/>
    <col min="15902" max="15902" width="11.44140625" style="42" customWidth="1"/>
    <col min="15903" max="15903" width="10.6640625" style="42" customWidth="1"/>
    <col min="15904" max="15904" width="11.109375" style="42" customWidth="1"/>
    <col min="15905" max="15905" width="9.88671875" style="42" customWidth="1"/>
    <col min="15906" max="15906" width="10.33203125" style="42" customWidth="1"/>
    <col min="15907" max="15907" width="9.88671875" style="42" customWidth="1"/>
    <col min="15908" max="15908" width="11.5546875" style="42" customWidth="1"/>
    <col min="15909" max="15909" width="12.33203125" style="42" customWidth="1"/>
    <col min="15910" max="15910" width="7.44140625" style="42" customWidth="1"/>
    <col min="15911" max="15911" width="10" style="42" customWidth="1"/>
    <col min="15912" max="15912" width="11.44140625" style="42" customWidth="1"/>
    <col min="15913" max="15913" width="8.5546875" style="42" customWidth="1"/>
    <col min="15914" max="15914" width="13.109375" style="42" customWidth="1"/>
    <col min="15915" max="15915" width="7.109375" style="42" customWidth="1"/>
    <col min="15916" max="15916" width="9" style="42" customWidth="1"/>
    <col min="15917" max="15917" width="11.33203125" style="42" customWidth="1"/>
    <col min="15918" max="15919" width="9.109375" style="42"/>
    <col min="15920" max="15920" width="7.44140625" style="42" customWidth="1"/>
    <col min="15921" max="15921" width="9.109375" style="42"/>
    <col min="15922" max="15922" width="13.33203125" style="42" customWidth="1"/>
    <col min="15923" max="15923" width="15" style="42" customWidth="1"/>
    <col min="15924" max="15924" width="10.44140625" style="42" customWidth="1"/>
    <col min="15925" max="15925" width="11.5546875" style="42" customWidth="1"/>
    <col min="15926" max="15944" width="9.109375" style="42"/>
    <col min="15945" max="15945" width="7.109375" style="42" customWidth="1"/>
    <col min="15946" max="15946" width="5.6640625" style="42" customWidth="1"/>
    <col min="15947" max="15947" width="5.44140625" style="42" customWidth="1"/>
    <col min="15948" max="16132" width="9.109375" style="42"/>
    <col min="16133" max="16133" width="44.5546875" style="42" customWidth="1"/>
    <col min="16134" max="16134" width="13.33203125" style="42" customWidth="1"/>
    <col min="16135" max="16135" width="10.109375" style="42" customWidth="1"/>
    <col min="16136" max="16136" width="13.6640625" style="42" customWidth="1"/>
    <col min="16137" max="16137" width="10.44140625" style="42" customWidth="1"/>
    <col min="16138" max="16138" width="9.44140625" style="42" bestFit="1" customWidth="1"/>
    <col min="16139" max="16139" width="7.44140625" style="42" bestFit="1" customWidth="1"/>
    <col min="16140" max="16140" width="14.33203125" style="42" bestFit="1" customWidth="1"/>
    <col min="16141" max="16141" width="12.5546875" style="42" bestFit="1" customWidth="1"/>
    <col min="16142" max="16142" width="9.44140625" style="42" customWidth="1"/>
    <col min="16143" max="16143" width="10.44140625" style="42" customWidth="1"/>
    <col min="16144" max="16144" width="11.109375" style="42" bestFit="1" customWidth="1"/>
    <col min="16145" max="16145" width="9.88671875" style="42" bestFit="1" customWidth="1"/>
    <col min="16146" max="16146" width="11.44140625" style="42" bestFit="1" customWidth="1"/>
    <col min="16147" max="16147" width="10.88671875" style="42" customWidth="1"/>
    <col min="16148" max="16148" width="8.109375" style="42" customWidth="1"/>
    <col min="16149" max="16149" width="10.33203125" style="42" customWidth="1"/>
    <col min="16150" max="16150" width="11" style="42" customWidth="1"/>
    <col min="16151" max="16151" width="11.6640625" style="42" customWidth="1"/>
    <col min="16152" max="16152" width="8" style="42" customWidth="1"/>
    <col min="16153" max="16153" width="8.33203125" style="42" customWidth="1"/>
    <col min="16154" max="16155" width="13.44140625" style="42" customWidth="1"/>
    <col min="16156" max="16156" width="13.6640625" style="42" customWidth="1"/>
    <col min="16157" max="16157" width="13.44140625" style="42" customWidth="1"/>
    <col min="16158" max="16158" width="11.44140625" style="42" customWidth="1"/>
    <col min="16159" max="16159" width="10.6640625" style="42" customWidth="1"/>
    <col min="16160" max="16160" width="11.109375" style="42" customWidth="1"/>
    <col min="16161" max="16161" width="9.88671875" style="42" customWidth="1"/>
    <col min="16162" max="16162" width="10.33203125" style="42" customWidth="1"/>
    <col min="16163" max="16163" width="9.88671875" style="42" customWidth="1"/>
    <col min="16164" max="16164" width="11.5546875" style="42" customWidth="1"/>
    <col min="16165" max="16165" width="12.33203125" style="42" customWidth="1"/>
    <col min="16166" max="16166" width="7.44140625" style="42" customWidth="1"/>
    <col min="16167" max="16167" width="10" style="42" customWidth="1"/>
    <col min="16168" max="16168" width="11.44140625" style="42" customWidth="1"/>
    <col min="16169" max="16169" width="8.5546875" style="42" customWidth="1"/>
    <col min="16170" max="16170" width="13.109375" style="42" customWidth="1"/>
    <col min="16171" max="16171" width="7.109375" style="42" customWidth="1"/>
    <col min="16172" max="16172" width="9" style="42" customWidth="1"/>
    <col min="16173" max="16173" width="11.33203125" style="42" customWidth="1"/>
    <col min="16174" max="16175" width="9.109375" style="42"/>
    <col min="16176" max="16176" width="7.44140625" style="42" customWidth="1"/>
    <col min="16177" max="16177" width="9.109375" style="42"/>
    <col min="16178" max="16178" width="13.33203125" style="42" customWidth="1"/>
    <col min="16179" max="16179" width="15" style="42" customWidth="1"/>
    <col min="16180" max="16180" width="10.44140625" style="42" customWidth="1"/>
    <col min="16181" max="16181" width="11.5546875" style="42" customWidth="1"/>
    <col min="16182" max="16200" width="9.109375" style="42"/>
    <col min="16201" max="16201" width="7.109375" style="42" customWidth="1"/>
    <col min="16202" max="16202" width="5.6640625" style="42" customWidth="1"/>
    <col min="16203" max="16203" width="5.44140625" style="42" customWidth="1"/>
    <col min="16204" max="16384" width="9.109375" style="42"/>
  </cols>
  <sheetData>
    <row r="1" spans="1:82" ht="18" customHeight="1" x14ac:dyDescent="0.25">
      <c r="D1" s="44"/>
      <c r="E1" s="183" t="s">
        <v>160</v>
      </c>
      <c r="F1" s="184"/>
      <c r="G1" s="184"/>
      <c r="H1" s="184"/>
      <c r="I1" s="185"/>
      <c r="J1" s="186" t="s">
        <v>661</v>
      </c>
      <c r="K1" s="187"/>
      <c r="L1" s="187"/>
      <c r="M1" s="187"/>
      <c r="N1" s="187"/>
      <c r="O1" s="187"/>
      <c r="P1" s="187"/>
      <c r="Q1" s="187"/>
      <c r="R1" s="187"/>
      <c r="S1" s="187"/>
      <c r="T1" s="187"/>
      <c r="U1" s="187"/>
      <c r="V1" s="187"/>
      <c r="W1" s="187"/>
      <c r="X1" s="187"/>
      <c r="Y1" s="187"/>
      <c r="Z1" s="188" t="s">
        <v>388</v>
      </c>
      <c r="AA1" s="189"/>
      <c r="AB1" s="189"/>
      <c r="AC1" s="189"/>
      <c r="AD1" s="189"/>
      <c r="AE1" s="189"/>
      <c r="AF1" s="189"/>
      <c r="AG1" s="189"/>
      <c r="AH1" s="189"/>
      <c r="AI1" s="189"/>
      <c r="AJ1" s="189"/>
      <c r="AK1" s="189"/>
      <c r="AL1" s="190" t="s">
        <v>684</v>
      </c>
      <c r="AM1" s="190"/>
      <c r="AN1" s="190"/>
      <c r="AO1" s="190"/>
      <c r="AP1" s="190"/>
      <c r="AQ1" s="190"/>
      <c r="AR1" s="190"/>
      <c r="AS1" s="190"/>
      <c r="AT1" s="191" t="s">
        <v>722</v>
      </c>
      <c r="AU1" s="192"/>
      <c r="AV1" s="192"/>
      <c r="AW1" s="192"/>
      <c r="AX1" s="192"/>
      <c r="AY1" s="193"/>
      <c r="AZ1" s="172" t="s">
        <v>905</v>
      </c>
      <c r="BA1" s="173"/>
      <c r="BB1" s="173"/>
      <c r="BC1" s="173"/>
      <c r="BD1" s="173"/>
      <c r="BE1" s="173"/>
      <c r="BF1" s="173"/>
      <c r="BG1" s="173"/>
      <c r="BH1" s="173"/>
      <c r="BI1" s="173"/>
      <c r="BJ1" s="174"/>
      <c r="BK1" s="175" t="s">
        <v>662</v>
      </c>
      <c r="BL1" s="176"/>
      <c r="BM1" s="176"/>
      <c r="BN1" s="176"/>
      <c r="BO1" s="145" t="s">
        <v>664</v>
      </c>
      <c r="BP1" s="145" t="s">
        <v>664</v>
      </c>
      <c r="BQ1" s="145" t="s">
        <v>664</v>
      </c>
      <c r="BR1" s="145" t="s">
        <v>664</v>
      </c>
      <c r="BS1" s="177" t="s">
        <v>663</v>
      </c>
      <c r="BT1" s="178"/>
      <c r="BU1" s="178"/>
      <c r="BV1" s="178"/>
      <c r="BW1" s="178"/>
      <c r="BX1" s="178"/>
      <c r="BY1" s="179"/>
      <c r="BZ1" s="180" t="s">
        <v>723</v>
      </c>
      <c r="CA1" s="181"/>
      <c r="CB1" s="181"/>
      <c r="CC1" s="181"/>
      <c r="CD1" s="182"/>
    </row>
    <row r="2" spans="1:82" ht="87.75" customHeight="1" x14ac:dyDescent="0.25">
      <c r="D2" s="45" t="s">
        <v>161</v>
      </c>
      <c r="E2" s="134" t="str">
        <f>('Process Matrix'!D3)</f>
        <v>Customer Service of Commercial  Banking Products and Services</v>
      </c>
      <c r="F2" s="135" t="str">
        <f>('Process Matrix'!D4)</f>
        <v>Account Open, Close Services</v>
      </c>
      <c r="G2" s="135" t="str">
        <f>('Process Matrix'!D5)</f>
        <v>Account Transactions</v>
      </c>
      <c r="H2" s="135" t="str">
        <f>('Process Matrix'!D6)</f>
        <v>ATM Services</v>
      </c>
      <c r="I2" s="135" t="str">
        <f>('Process Matrix'!D7)</f>
        <v>Safe Deposit</v>
      </c>
      <c r="J2" s="73" t="str">
        <f>('Process Matrix'!D8)</f>
        <v>Loan Underwriting, Approval</v>
      </c>
      <c r="K2" s="73" t="str">
        <f>('Process Matrix'!D9)</f>
        <v>Collections</v>
      </c>
      <c r="L2" s="73" t="str">
        <f>('Process Matrix'!D10)</f>
        <v>Loan Approval</v>
      </c>
      <c r="M2" s="73" t="str">
        <f>('Process Matrix'!D11)</f>
        <v>ALLL Calculation (for Call Report)</v>
      </c>
      <c r="N2" s="73" t="str">
        <f>('Process Matrix'!D12)</f>
        <v>Portfolio Monitoring</v>
      </c>
      <c r="O2" s="73" t="str">
        <f>('Process Matrix'!D13)</f>
        <v>Underwriting, Approval</v>
      </c>
      <c r="P2" s="73" t="str">
        <f>('Process Matrix'!D14)</f>
        <v>Appraisal, Evaluations</v>
      </c>
      <c r="Q2" s="73" t="str">
        <f>('Process Matrix'!D15)</f>
        <v>Financial Monitoring</v>
      </c>
      <c r="R2" s="73" t="str">
        <f>('Process Matrix'!D16)</f>
        <v>Loan Maintenance</v>
      </c>
      <c r="S2" s="73" t="str">
        <f>('Process Matrix'!D17)</f>
        <v>Loan Closing</v>
      </c>
      <c r="T2" s="73" t="str">
        <f>('Process Matrix'!D18)</f>
        <v>Underwriting and Disclosures</v>
      </c>
      <c r="U2" s="73" t="str">
        <f>('Process Matrix'!D19)</f>
        <v>Loan Documentation</v>
      </c>
      <c r="V2" s="73" t="str">
        <f>('Process Matrix'!D20)</f>
        <v>Loan Closing</v>
      </c>
      <c r="W2" s="73" t="str">
        <f>('Process Matrix'!D21)</f>
        <v>Perfecting Collateral</v>
      </c>
      <c r="X2" s="73" t="str">
        <f>('Process Matrix'!D22)</f>
        <v>Loan Documentation Preparation</v>
      </c>
      <c r="Y2" s="73" t="str">
        <f>('Process Matrix'!D23)</f>
        <v>Loan Documentation Processing</v>
      </c>
      <c r="Z2" s="133" t="str">
        <f>('Process Matrix'!D24)</f>
        <v>Account Maintenance</v>
      </c>
      <c r="AA2" s="133" t="str">
        <f>('Process Matrix'!D25)</f>
        <v>Levies, Garnishments</v>
      </c>
      <c r="AB2" s="133" t="str">
        <f>('Process Matrix'!D26)</f>
        <v>ACH File and Funds Transfer Processing &amp; Returns</v>
      </c>
      <c r="AC2" s="133" t="str">
        <f>('Process Matrix'!D27)</f>
        <v>Online Banking Maintenance &amp; Support</v>
      </c>
      <c r="AD2" s="133" t="str">
        <f>('Process Matrix'!D28)</f>
        <v>Large Item Returns</v>
      </c>
      <c r="AE2" s="133" t="str">
        <f>('Process Matrix'!D29)</f>
        <v>Daily processing of non-posts, chargeback's &amp; return decision items</v>
      </c>
      <c r="AF2" s="133" t="str">
        <f>('Process Matrix'!D30)</f>
        <v>Wire Processing</v>
      </c>
      <c r="AG2" s="133" t="str">
        <f>('Process Matrix'!D31)</f>
        <v>Correspondent Daily Settlement</v>
      </c>
      <c r="AH2" s="133" t="str">
        <f>('Process Matrix'!D32)</f>
        <v>Lockbox Payment</v>
      </c>
      <c r="AI2" s="133" t="str">
        <f>('Process Matrix'!D33)</f>
        <v>Deposit Verifications</v>
      </c>
      <c r="AJ2" s="133" t="str">
        <f>('Process Matrix'!D34)</f>
        <v>Misc. Research Requests, IRS Tax reporting, Unclaimed property</v>
      </c>
      <c r="AK2" s="133" t="str">
        <f>('Process Matrix'!D35)</f>
        <v>OFAC validation</v>
      </c>
      <c r="AL2" s="137" t="str">
        <f>('Process Matrix'!D36)</f>
        <v>Sales of Merchant Credit Card Processing</v>
      </c>
      <c r="AM2" s="137" t="str">
        <f>('Process Matrix'!D37)</f>
        <v>Sales of Business Credit Cards</v>
      </c>
      <c r="AN2" s="137" t="str">
        <f>('Process Matrix'!D38)</f>
        <v>Training of Commercial Banking Products and Services</v>
      </c>
      <c r="AO2" s="137" t="str">
        <f>('Process Matrix'!D39)</f>
        <v>Sell Services</v>
      </c>
      <c r="AP2" s="137" t="str">
        <f>('Process Matrix'!D40)</f>
        <v>Sell Services</v>
      </c>
      <c r="AQ2" s="137" t="str">
        <f>('Process Matrix'!D41)</f>
        <v>Loan Processing</v>
      </c>
      <c r="AR2" s="137" t="str">
        <f>('Process Matrix'!D42)</f>
        <v>Loan Application Delivery</v>
      </c>
      <c r="AS2" s="137" t="str">
        <f>('Process Matrix'!D43)</f>
        <v>Participation, Serviced Loan Management</v>
      </c>
      <c r="AT2" s="138" t="str">
        <f>('Process Matrix'!D44)</f>
        <v>Accounts Payable</v>
      </c>
      <c r="AU2" s="138" t="str">
        <f>('Process Matrix'!D45)</f>
        <v>Accounts Reconciliation</v>
      </c>
      <c r="AV2" s="138" t="str">
        <f>('Process Matrix'!D46)</f>
        <v>Payroll</v>
      </c>
      <c r="AW2" s="138" t="str">
        <f>('Process Matrix'!D47)</f>
        <v>Payments, Advances, Loan Non-posts</v>
      </c>
      <c r="AX2" s="138" t="str">
        <f>('Process Matrix'!D48)</f>
        <v>Financial Reporting</v>
      </c>
      <c r="AY2" s="138" t="str">
        <f>('Process Matrix'!D49)</f>
        <v>Cash &amp; Liquidity Management</v>
      </c>
      <c r="AZ2" s="143" t="str">
        <f>('Process Matrix'!D50)</f>
        <v>Desktop Hardware &amp; Application Support</v>
      </c>
      <c r="BA2" s="143" t="str">
        <f>('Process Matrix'!D51)</f>
        <v>Ticket Requests</v>
      </c>
      <c r="BB2" s="143" t="str">
        <f>('Process Matrix'!D52)</f>
        <v>Branch Support</v>
      </c>
      <c r="BC2" s="143" t="str">
        <f>('Process Matrix'!D53)</f>
        <v>Bank Communications</v>
      </c>
      <c r="BD2" s="143" t="str">
        <f>('Process Matrix'!D54)</f>
        <v>Process &amp; Procedures</v>
      </c>
      <c r="BE2" s="132" t="str">
        <f>('Process Matrix'!D55)</f>
        <v>Talent Acquisition</v>
      </c>
      <c r="BF2" s="132" t="str">
        <f>('Process Matrix'!D56)</f>
        <v>Benefit Administration</v>
      </c>
      <c r="BG2" s="132" t="str">
        <f>('Process Matrix'!D57)</f>
        <v>Staffing Management</v>
      </c>
      <c r="BH2" s="144" t="str">
        <f>('Process Matrix'!D58)</f>
        <v>Marketing of Commercial Banking Products and Services</v>
      </c>
      <c r="BI2" s="144" t="str">
        <f>('Process Matrix'!D59)</f>
        <v>Create Advertising, Promotions</v>
      </c>
      <c r="BJ2" s="143" t="str">
        <f>('Process Matrix'!D60)</f>
        <v>Compliance Training</v>
      </c>
      <c r="BK2" s="139" t="str">
        <f>('Process Matrix'!D61)</f>
        <v>Internal Audit</v>
      </c>
      <c r="BL2" s="139" t="str">
        <f>('Process Matrix'!D62)</f>
        <v>Annual Planning:  Risk Assessments, Plans, Priorities</v>
      </c>
      <c r="BM2" s="139" t="str">
        <f>('Process Matrix'!D63)</f>
        <v>Implement new and changes to regulations and monitor progress, performance</v>
      </c>
      <c r="BN2" s="139" t="str">
        <f>('Process Matrix'!D64)</f>
        <v>Staff Resource for Compliance Issues</v>
      </c>
      <c r="BO2" s="72" t="str">
        <f>('Process Matrix'!D65)</f>
        <v>Client software support</v>
      </c>
      <c r="BP2" s="72" t="str">
        <f>('Process Matrix'!D66)</f>
        <v>ATM/Debit Card Services</v>
      </c>
      <c r="BQ2" s="72" t="str">
        <f>('Process Matrix'!D67)</f>
        <v>Sales of Banking Products and Services</v>
      </c>
      <c r="BR2" s="72" t="str">
        <f>('Process Matrix'!D68)</f>
        <v>Client account support</v>
      </c>
      <c r="BS2" s="131" t="str">
        <f>('Process Matrix'!D69)</f>
        <v>Branch Capture, Merchant Capture &amp; Daily Letter Processing and Balancing</v>
      </c>
      <c r="BT2" s="131" t="str">
        <f>('Process Matrix'!D70)</f>
        <v>Statement/Notice production</v>
      </c>
      <c r="BU2" s="131">
        <f>('Process Matrix'!D71)</f>
        <v>0</v>
      </c>
      <c r="BV2" s="131">
        <f>('Process Matrix'!D72)</f>
        <v>0</v>
      </c>
      <c r="BW2" s="131">
        <f>('Process Matrix'!D73)</f>
        <v>0</v>
      </c>
      <c r="BX2" s="131">
        <f>('Process Matrix'!D74)</f>
        <v>0</v>
      </c>
      <c r="BY2" s="131">
        <f>('Process Matrix'!D75)</f>
        <v>0</v>
      </c>
      <c r="BZ2" s="136">
        <f>('Process Matrix'!D76)</f>
        <v>0</v>
      </c>
      <c r="CA2" s="136">
        <f>('Process Matrix'!D77)</f>
        <v>0</v>
      </c>
      <c r="CB2" s="136">
        <f>('Process Matrix'!D78)</f>
        <v>0</v>
      </c>
      <c r="CC2" s="136">
        <f>('Process Matrix'!D79)</f>
        <v>0</v>
      </c>
      <c r="CD2" s="136">
        <f>('Process Matrix'!D80)</f>
        <v>0</v>
      </c>
    </row>
    <row r="3" spans="1:82" ht="27" customHeight="1" x14ac:dyDescent="0.25">
      <c r="D3" s="46" t="s">
        <v>195</v>
      </c>
      <c r="E3" s="47" t="s">
        <v>196</v>
      </c>
      <c r="F3" s="47" t="s">
        <v>197</v>
      </c>
      <c r="G3" s="47" t="s">
        <v>198</v>
      </c>
      <c r="H3" s="47" t="s">
        <v>198</v>
      </c>
      <c r="I3" s="47" t="s">
        <v>198</v>
      </c>
      <c r="J3" s="47"/>
      <c r="K3" s="47" t="s">
        <v>198</v>
      </c>
      <c r="L3" s="47" t="s">
        <v>198</v>
      </c>
      <c r="M3" s="47" t="s">
        <v>198</v>
      </c>
      <c r="N3" s="47" t="s">
        <v>198</v>
      </c>
      <c r="O3" s="47" t="s">
        <v>196</v>
      </c>
      <c r="P3" s="47" t="s">
        <v>196</v>
      </c>
      <c r="Q3" s="47" t="s">
        <v>196</v>
      </c>
      <c r="R3" s="47" t="s">
        <v>196</v>
      </c>
      <c r="S3" s="47" t="s">
        <v>196</v>
      </c>
      <c r="T3" s="47" t="s">
        <v>199</v>
      </c>
      <c r="U3" s="47" t="s">
        <v>199</v>
      </c>
      <c r="V3" s="47" t="s">
        <v>196</v>
      </c>
      <c r="W3" s="47" t="s">
        <v>197</v>
      </c>
      <c r="X3" s="47" t="s">
        <v>198</v>
      </c>
      <c r="Y3" s="47" t="s">
        <v>199</v>
      </c>
      <c r="Z3" s="47" t="s">
        <v>196</v>
      </c>
      <c r="AA3" s="47" t="s">
        <v>196</v>
      </c>
      <c r="AB3" s="47" t="s">
        <v>198</v>
      </c>
      <c r="AC3" s="47" t="s">
        <v>198</v>
      </c>
      <c r="AD3" s="47" t="s">
        <v>200</v>
      </c>
      <c r="AE3" s="47" t="s">
        <v>200</v>
      </c>
      <c r="AF3" s="47" t="s">
        <v>201</v>
      </c>
      <c r="AG3" s="47">
        <v>31</v>
      </c>
      <c r="AH3" s="47" t="s">
        <v>196</v>
      </c>
      <c r="AI3" s="47" t="s">
        <v>198</v>
      </c>
      <c r="AJ3" s="47" t="s">
        <v>202</v>
      </c>
      <c r="AK3" s="47" t="s">
        <v>203</v>
      </c>
      <c r="AL3" s="47" t="s">
        <v>199</v>
      </c>
      <c r="AM3" s="47" t="s">
        <v>203</v>
      </c>
      <c r="AN3" s="47" t="s">
        <v>199</v>
      </c>
      <c r="AO3" s="47" t="s">
        <v>196</v>
      </c>
      <c r="AP3" s="47" t="s">
        <v>203</v>
      </c>
      <c r="AQ3" s="47" t="s">
        <v>196</v>
      </c>
      <c r="AR3" s="47" t="s">
        <v>196</v>
      </c>
      <c r="AS3" s="47" t="s">
        <v>196</v>
      </c>
      <c r="AT3" s="47" t="s">
        <v>196</v>
      </c>
      <c r="AU3" s="47" t="s">
        <v>204</v>
      </c>
      <c r="AV3" s="47" t="s">
        <v>199</v>
      </c>
      <c r="AW3" s="47" t="s">
        <v>205</v>
      </c>
      <c r="AX3" s="47" t="s">
        <v>205</v>
      </c>
      <c r="AY3" s="47" t="s">
        <v>206</v>
      </c>
      <c r="AZ3" s="47" t="s">
        <v>206</v>
      </c>
      <c r="BA3" s="47" t="s">
        <v>206</v>
      </c>
      <c r="BB3" s="47" t="s">
        <v>206</v>
      </c>
      <c r="BC3" s="47" t="s">
        <v>206</v>
      </c>
      <c r="BD3" s="47" t="s">
        <v>721</v>
      </c>
      <c r="BE3" s="47" t="s">
        <v>196</v>
      </c>
      <c r="BF3" s="47" t="s">
        <v>199</v>
      </c>
      <c r="BG3" s="47" t="s">
        <v>205</v>
      </c>
      <c r="BH3" s="47" t="s">
        <v>205</v>
      </c>
      <c r="BI3" s="47" t="s">
        <v>206</v>
      </c>
      <c r="BJ3" s="47" t="s">
        <v>206</v>
      </c>
      <c r="BK3" s="47" t="s">
        <v>206</v>
      </c>
      <c r="BL3" s="47" t="s">
        <v>206</v>
      </c>
      <c r="BM3" s="47" t="s">
        <v>206</v>
      </c>
      <c r="BN3" s="47" t="s">
        <v>206</v>
      </c>
      <c r="BO3" s="47" t="s">
        <v>721</v>
      </c>
      <c r="BP3" s="47" t="s">
        <v>196</v>
      </c>
      <c r="BQ3" s="47" t="s">
        <v>196</v>
      </c>
      <c r="BR3" s="47" t="s">
        <v>199</v>
      </c>
      <c r="BS3" s="47" t="s">
        <v>205</v>
      </c>
      <c r="BT3" s="47" t="s">
        <v>205</v>
      </c>
      <c r="BU3" s="47" t="s">
        <v>205</v>
      </c>
      <c r="BV3" s="47" t="s">
        <v>206</v>
      </c>
      <c r="BW3" s="47" t="s">
        <v>206</v>
      </c>
      <c r="BX3" s="47" t="s">
        <v>206</v>
      </c>
      <c r="BY3" s="47" t="s">
        <v>206</v>
      </c>
      <c r="BZ3" s="47" t="s">
        <v>206</v>
      </c>
      <c r="CA3" s="47" t="s">
        <v>721</v>
      </c>
      <c r="CB3" s="47" t="s">
        <v>196</v>
      </c>
      <c r="CC3" s="47" t="s">
        <v>724</v>
      </c>
      <c r="CD3" s="47" t="s">
        <v>725</v>
      </c>
    </row>
    <row r="4" spans="1:82" ht="25.5" customHeight="1" x14ac:dyDescent="0.25">
      <c r="D4" s="48" t="s">
        <v>207</v>
      </c>
      <c r="E4" s="49"/>
      <c r="F4" s="49"/>
      <c r="G4" s="49"/>
      <c r="H4" s="49"/>
      <c r="I4" s="49"/>
      <c r="J4" s="49"/>
      <c r="K4" s="49"/>
      <c r="L4" s="49"/>
      <c r="M4" s="49"/>
      <c r="N4" s="49"/>
      <c r="O4" s="49"/>
      <c r="P4" s="49"/>
      <c r="Q4" s="49"/>
      <c r="R4" s="49"/>
      <c r="S4" s="49"/>
      <c r="T4" s="49"/>
      <c r="U4" s="49"/>
      <c r="V4" s="49"/>
      <c r="W4" s="49"/>
      <c r="X4" s="49"/>
      <c r="Y4" s="49"/>
      <c r="Z4" s="49"/>
      <c r="AA4" s="49"/>
      <c r="AB4" s="49"/>
      <c r="AC4" s="49"/>
      <c r="AD4" s="49"/>
      <c r="AE4" s="49"/>
      <c r="AF4" s="49"/>
      <c r="AG4" s="49"/>
      <c r="AH4" s="49"/>
      <c r="AI4" s="49"/>
      <c r="AJ4" s="49"/>
      <c r="AK4" s="49"/>
      <c r="AL4" s="49"/>
      <c r="AM4" s="49"/>
      <c r="AN4" s="49"/>
      <c r="AO4" s="49"/>
      <c r="AP4" s="49"/>
      <c r="AQ4" s="49"/>
      <c r="AR4" s="49"/>
      <c r="AS4" s="49"/>
      <c r="AT4" s="49"/>
      <c r="AU4" s="49"/>
      <c r="AV4" s="49"/>
      <c r="AW4" s="49"/>
      <c r="AX4" s="49"/>
      <c r="AY4" s="49"/>
      <c r="AZ4" s="49"/>
      <c r="BA4" s="49"/>
      <c r="BB4" s="49"/>
      <c r="BC4" s="49"/>
      <c r="BD4" s="49"/>
      <c r="BE4" s="49"/>
      <c r="BF4" s="49"/>
      <c r="BG4" s="49"/>
      <c r="BH4" s="49"/>
      <c r="BI4" s="49"/>
      <c r="BJ4" s="49"/>
      <c r="BK4" s="49"/>
      <c r="BL4" s="49"/>
      <c r="BM4" s="49"/>
      <c r="BN4" s="49"/>
      <c r="BO4" s="49"/>
      <c r="BP4" s="49"/>
      <c r="BQ4" s="49"/>
      <c r="BR4" s="49"/>
      <c r="BS4" s="49"/>
      <c r="BT4" s="49"/>
      <c r="BU4" s="49"/>
      <c r="BV4" s="49"/>
      <c r="BW4" s="49"/>
      <c r="BX4" s="49"/>
      <c r="BY4" s="49"/>
      <c r="BZ4" s="49"/>
      <c r="CA4" s="49"/>
      <c r="CB4" s="49"/>
      <c r="CC4" s="49"/>
      <c r="CD4" s="49"/>
    </row>
    <row r="5" spans="1:82" ht="45.75" customHeight="1" x14ac:dyDescent="0.25">
      <c r="A5" s="75" t="s">
        <v>208</v>
      </c>
      <c r="B5" s="50" t="s">
        <v>717</v>
      </c>
      <c r="C5" s="50" t="s">
        <v>209</v>
      </c>
      <c r="D5" s="51" t="s">
        <v>210</v>
      </c>
      <c r="E5" s="52"/>
      <c r="F5" s="52"/>
      <c r="G5" s="52"/>
      <c r="H5" s="52"/>
      <c r="I5" s="52"/>
      <c r="J5" s="52"/>
      <c r="K5" s="52"/>
      <c r="L5" s="52"/>
      <c r="M5" s="52"/>
      <c r="N5" s="52"/>
      <c r="O5" s="52"/>
      <c r="P5" s="52"/>
      <c r="Q5" s="52"/>
      <c r="R5" s="52"/>
      <c r="S5" s="52"/>
      <c r="T5" s="52"/>
      <c r="U5" s="52"/>
      <c r="V5" s="52"/>
      <c r="W5" s="52"/>
      <c r="X5" s="52"/>
      <c r="Y5" s="47"/>
      <c r="Z5" s="47"/>
      <c r="AA5" s="47"/>
      <c r="AB5" s="52"/>
      <c r="AC5" s="47"/>
      <c r="AD5" s="47"/>
      <c r="AE5" s="47"/>
      <c r="AF5" s="47"/>
      <c r="AG5" s="47"/>
      <c r="AH5" s="47"/>
      <c r="AI5" s="47"/>
      <c r="AJ5" s="47"/>
      <c r="AK5" s="47"/>
      <c r="AL5" s="47"/>
      <c r="AM5" s="47"/>
      <c r="AN5" s="47"/>
      <c r="AO5" s="52"/>
      <c r="AP5" s="52"/>
      <c r="AQ5" s="52"/>
      <c r="AR5" s="47"/>
      <c r="AS5" s="47"/>
      <c r="AT5" s="47"/>
      <c r="AU5" s="47"/>
      <c r="AV5" s="47"/>
      <c r="AW5" s="52"/>
      <c r="AX5" s="52"/>
      <c r="AY5" s="52"/>
      <c r="AZ5" s="52"/>
      <c r="BA5" s="47"/>
      <c r="BB5" s="47"/>
      <c r="BC5" s="47"/>
      <c r="BD5" s="47"/>
      <c r="BE5" s="52"/>
      <c r="BF5" s="47"/>
      <c r="BG5" s="52"/>
      <c r="BH5" s="52"/>
      <c r="BI5" s="52"/>
      <c r="BJ5" s="52"/>
      <c r="BK5" s="47"/>
      <c r="BL5" s="47"/>
      <c r="BM5" s="47"/>
      <c r="BN5" s="47"/>
      <c r="BO5" s="47"/>
      <c r="BP5" s="52"/>
      <c r="BQ5" s="52"/>
      <c r="BR5" s="47"/>
      <c r="BS5" s="52"/>
      <c r="BT5" s="52"/>
      <c r="BU5" s="52"/>
      <c r="BV5" s="52"/>
      <c r="BW5" s="52"/>
      <c r="BX5" s="47"/>
      <c r="BY5" s="47"/>
      <c r="BZ5" s="47"/>
      <c r="CA5" s="47"/>
      <c r="CB5" s="52"/>
      <c r="CC5" s="52"/>
      <c r="CD5" s="52"/>
    </row>
    <row r="6" spans="1:82" x14ac:dyDescent="0.25">
      <c r="A6" s="120" t="s">
        <v>650</v>
      </c>
      <c r="B6" s="54"/>
      <c r="C6" s="54"/>
      <c r="D6" s="55"/>
      <c r="E6" s="52"/>
      <c r="F6" s="52"/>
      <c r="G6" s="52"/>
      <c r="H6" s="52"/>
      <c r="I6" s="52"/>
      <c r="J6" s="52"/>
      <c r="K6" s="52"/>
      <c r="L6" s="52"/>
      <c r="M6" s="52"/>
      <c r="N6" s="52"/>
      <c r="O6" s="52"/>
      <c r="P6" s="52"/>
      <c r="Q6" s="52"/>
      <c r="R6" s="52"/>
      <c r="S6" s="52"/>
      <c r="T6" s="52"/>
      <c r="U6" s="52"/>
      <c r="V6" s="52"/>
      <c r="W6" s="52"/>
      <c r="X6" s="52"/>
      <c r="Y6" s="47"/>
      <c r="Z6" s="47"/>
      <c r="AA6" s="47"/>
      <c r="AB6" s="52"/>
      <c r="AC6" s="47"/>
      <c r="AD6" s="47"/>
      <c r="AE6" s="47"/>
      <c r="AF6" s="47"/>
      <c r="AG6" s="47"/>
      <c r="AH6" s="47"/>
      <c r="AI6" s="47"/>
      <c r="AJ6" s="47"/>
      <c r="AK6" s="47"/>
      <c r="AL6" s="47"/>
      <c r="AM6" s="47"/>
      <c r="AN6" s="47"/>
      <c r="AO6" s="52"/>
      <c r="AP6" s="52"/>
      <c r="AQ6" s="52"/>
      <c r="AR6" s="47"/>
      <c r="AS6" s="47"/>
      <c r="AT6" s="47"/>
      <c r="AU6" s="47"/>
      <c r="AV6" s="47"/>
      <c r="AW6" s="52"/>
      <c r="AX6" s="52"/>
      <c r="AY6" s="52"/>
      <c r="AZ6" s="52"/>
      <c r="BA6" s="47"/>
      <c r="BB6" s="47"/>
      <c r="BC6" s="47"/>
      <c r="BD6" s="47"/>
      <c r="BE6" s="52"/>
      <c r="BF6" s="47"/>
      <c r="BG6" s="52"/>
      <c r="BH6" s="52"/>
      <c r="BI6" s="52"/>
      <c r="BJ6" s="52"/>
      <c r="BK6" s="47"/>
      <c r="BL6" s="47"/>
      <c r="BM6" s="47"/>
      <c r="BN6" s="47"/>
      <c r="BO6" s="47"/>
      <c r="BP6" s="52"/>
      <c r="BQ6" s="52"/>
      <c r="BR6" s="47"/>
      <c r="BS6" s="52"/>
      <c r="BT6" s="52"/>
      <c r="BU6" s="52"/>
      <c r="BV6" s="52"/>
      <c r="BW6" s="52"/>
      <c r="BX6" s="47"/>
      <c r="BY6" s="47"/>
      <c r="BZ6" s="47"/>
      <c r="CA6" s="47"/>
      <c r="CB6" s="52"/>
      <c r="CC6" s="52"/>
      <c r="CD6" s="52"/>
    </row>
    <row r="7" spans="1:82" ht="26.4" x14ac:dyDescent="0.25">
      <c r="A7" s="120" t="s">
        <v>838</v>
      </c>
      <c r="B7" s="54" t="s">
        <v>720</v>
      </c>
      <c r="C7" s="54"/>
      <c r="D7" s="55"/>
      <c r="E7" s="52"/>
      <c r="F7" s="52"/>
      <c r="G7" s="52"/>
      <c r="H7" s="52"/>
      <c r="I7" s="52"/>
      <c r="J7" s="52"/>
      <c r="K7" s="52"/>
      <c r="L7" s="52"/>
      <c r="M7" s="52"/>
      <c r="N7" s="52"/>
      <c r="O7" s="52"/>
      <c r="P7" s="52"/>
      <c r="Q7" s="52"/>
      <c r="R7" s="52"/>
      <c r="S7" s="52"/>
      <c r="T7" s="52"/>
      <c r="U7" s="52"/>
      <c r="V7" s="52"/>
      <c r="W7" s="52"/>
      <c r="X7" s="52"/>
      <c r="Y7" s="47"/>
      <c r="Z7" s="47"/>
      <c r="AA7" s="47"/>
      <c r="AB7" s="52"/>
      <c r="AC7" s="47"/>
      <c r="AD7" s="47"/>
      <c r="AE7" s="47"/>
      <c r="AF7" s="47"/>
      <c r="AG7" s="47"/>
      <c r="AH7" s="47"/>
      <c r="AI7" s="47"/>
      <c r="AJ7" s="47"/>
      <c r="AK7" s="47"/>
      <c r="AL7" s="47"/>
      <c r="AM7" s="47"/>
      <c r="AN7" s="47"/>
      <c r="AO7" s="52"/>
      <c r="AP7" s="52"/>
      <c r="AQ7" s="52"/>
      <c r="AR7" s="47"/>
      <c r="AS7" s="47"/>
      <c r="AT7" s="47"/>
      <c r="AU7" s="47"/>
      <c r="AV7" s="47"/>
      <c r="AW7" s="52"/>
      <c r="AX7" s="52"/>
      <c r="AY7" s="52"/>
      <c r="AZ7" s="52"/>
      <c r="BA7" s="47"/>
      <c r="BB7" s="47"/>
      <c r="BC7" s="47"/>
      <c r="BD7" s="47"/>
      <c r="BE7" s="52"/>
      <c r="BF7" s="47"/>
      <c r="BG7" s="52"/>
      <c r="BH7" s="52"/>
      <c r="BI7" s="52"/>
      <c r="BJ7" s="52"/>
      <c r="BK7" s="47"/>
      <c r="BL7" s="47"/>
      <c r="BM7" s="47"/>
      <c r="BN7" s="47"/>
      <c r="BO7" s="47"/>
      <c r="BP7" s="52"/>
      <c r="BQ7" s="52"/>
      <c r="BR7" s="47"/>
      <c r="BS7" s="52"/>
      <c r="BT7" s="52"/>
      <c r="BU7" s="52"/>
      <c r="BV7" s="52"/>
      <c r="BW7" s="52"/>
      <c r="BX7" s="47"/>
      <c r="BY7" s="47"/>
      <c r="BZ7" s="47"/>
      <c r="CA7" s="47"/>
      <c r="CB7" s="52"/>
      <c r="CC7" s="52"/>
      <c r="CD7" s="52"/>
    </row>
    <row r="8" spans="1:82" x14ac:dyDescent="0.25">
      <c r="A8" s="120" t="s">
        <v>754</v>
      </c>
      <c r="B8" s="54"/>
      <c r="C8" s="54"/>
      <c r="D8" s="55"/>
      <c r="E8" s="52"/>
      <c r="F8" s="52"/>
      <c r="G8" s="52"/>
      <c r="H8" s="52"/>
      <c r="I8" s="52"/>
      <c r="J8" s="52"/>
      <c r="K8" s="52"/>
      <c r="L8" s="52"/>
      <c r="M8" s="52"/>
      <c r="N8" s="52"/>
      <c r="O8" s="52"/>
      <c r="P8" s="52"/>
      <c r="Q8" s="52"/>
      <c r="R8" s="52"/>
      <c r="S8" s="52"/>
      <c r="T8" s="52"/>
      <c r="U8" s="52"/>
      <c r="V8" s="52"/>
      <c r="W8" s="52"/>
      <c r="X8" s="52"/>
      <c r="Y8" s="47"/>
      <c r="Z8" s="47"/>
      <c r="AA8" s="47"/>
      <c r="AB8" s="52"/>
      <c r="AC8" s="47"/>
      <c r="AD8" s="47"/>
      <c r="AE8" s="47"/>
      <c r="AF8" s="47"/>
      <c r="AG8" s="47"/>
      <c r="AH8" s="47"/>
      <c r="AI8" s="47"/>
      <c r="AJ8" s="47"/>
      <c r="AK8" s="47"/>
      <c r="AL8" s="47"/>
      <c r="AM8" s="47"/>
      <c r="AN8" s="47"/>
      <c r="AO8" s="52"/>
      <c r="AP8" s="52"/>
      <c r="AQ8" s="52"/>
      <c r="AR8" s="47"/>
      <c r="AS8" s="47"/>
      <c r="AT8" s="47"/>
      <c r="AU8" s="47"/>
      <c r="AV8" s="47"/>
      <c r="AW8" s="52"/>
      <c r="AX8" s="52"/>
      <c r="AY8" s="52"/>
      <c r="AZ8" s="52"/>
      <c r="BA8" s="47"/>
      <c r="BB8" s="47"/>
      <c r="BC8" s="47"/>
      <c r="BD8" s="47"/>
      <c r="BE8" s="52"/>
      <c r="BF8" s="47"/>
      <c r="BG8" s="52"/>
      <c r="BH8" s="52"/>
      <c r="BI8" s="52"/>
      <c r="BJ8" s="52"/>
      <c r="BK8" s="47"/>
      <c r="BL8" s="47"/>
      <c r="BM8" s="47"/>
      <c r="BN8" s="47"/>
      <c r="BO8" s="47"/>
      <c r="BP8" s="52"/>
      <c r="BQ8" s="52"/>
      <c r="BR8" s="47"/>
      <c r="BS8" s="52"/>
      <c r="BT8" s="52"/>
      <c r="BU8" s="52"/>
      <c r="BV8" s="52"/>
      <c r="BW8" s="52"/>
      <c r="BX8" s="47"/>
      <c r="BY8" s="47"/>
      <c r="BZ8" s="47"/>
      <c r="CA8" s="47"/>
      <c r="CB8" s="52"/>
      <c r="CC8" s="52"/>
      <c r="CD8" s="52"/>
    </row>
    <row r="9" spans="1:82" x14ac:dyDescent="0.25">
      <c r="A9" s="120" t="s">
        <v>713</v>
      </c>
      <c r="B9" s="54" t="s">
        <v>718</v>
      </c>
      <c r="C9" s="54" t="s">
        <v>121</v>
      </c>
      <c r="D9" s="55">
        <f>MIN(E9:BC9)</f>
        <v>0.16</v>
      </c>
      <c r="E9" s="52">
        <v>30</v>
      </c>
      <c r="F9" s="52">
        <v>0.25</v>
      </c>
      <c r="G9" s="52">
        <v>1</v>
      </c>
      <c r="H9" s="52">
        <v>1</v>
      </c>
      <c r="I9" s="52">
        <v>1</v>
      </c>
      <c r="J9" s="52"/>
      <c r="K9" s="52">
        <v>1</v>
      </c>
      <c r="L9" s="52">
        <v>1</v>
      </c>
      <c r="M9" s="52">
        <v>1</v>
      </c>
      <c r="N9" s="52">
        <v>1</v>
      </c>
      <c r="O9" s="52">
        <v>30</v>
      </c>
      <c r="P9" s="52">
        <v>30</v>
      </c>
      <c r="Q9" s="52">
        <v>30</v>
      </c>
      <c r="R9" s="52"/>
      <c r="S9" s="52"/>
      <c r="T9" s="52">
        <v>3</v>
      </c>
      <c r="U9" s="52">
        <v>3</v>
      </c>
      <c r="V9" s="52">
        <v>30</v>
      </c>
      <c r="W9" s="52">
        <v>0.25</v>
      </c>
      <c r="X9" s="52">
        <v>1</v>
      </c>
      <c r="Y9" s="52">
        <v>3</v>
      </c>
      <c r="Z9" s="47">
        <v>30</v>
      </c>
      <c r="AA9" s="47">
        <v>30</v>
      </c>
      <c r="AB9" s="52">
        <v>1</v>
      </c>
      <c r="AC9" s="47">
        <v>1</v>
      </c>
      <c r="AD9" s="47">
        <v>0.16</v>
      </c>
      <c r="AE9" s="47">
        <v>0.16</v>
      </c>
      <c r="AF9" s="47">
        <v>30</v>
      </c>
      <c r="AG9" s="47">
        <v>30</v>
      </c>
      <c r="AH9" s="47">
        <v>30</v>
      </c>
      <c r="AI9" s="47">
        <v>1</v>
      </c>
      <c r="AJ9" s="47">
        <v>5</v>
      </c>
      <c r="AK9" s="47">
        <v>10</v>
      </c>
      <c r="AL9" s="47">
        <v>3</v>
      </c>
      <c r="AM9" s="47">
        <v>10</v>
      </c>
      <c r="AN9" s="47">
        <v>3</v>
      </c>
      <c r="AO9" s="52">
        <v>30</v>
      </c>
      <c r="AP9" s="52">
        <v>10</v>
      </c>
      <c r="AQ9" s="52">
        <v>30</v>
      </c>
      <c r="AR9" s="52">
        <v>30</v>
      </c>
      <c r="AS9" s="52">
        <v>30</v>
      </c>
      <c r="AT9" s="52">
        <v>30</v>
      </c>
      <c r="AU9" s="47"/>
      <c r="AV9" s="47"/>
      <c r="AW9" s="52"/>
      <c r="AX9" s="52"/>
      <c r="AY9" s="52">
        <v>90</v>
      </c>
      <c r="AZ9" s="52">
        <v>90</v>
      </c>
      <c r="BA9" s="52">
        <v>90</v>
      </c>
      <c r="BB9" s="52">
        <v>90</v>
      </c>
      <c r="BC9" s="52">
        <v>90</v>
      </c>
      <c r="BD9" s="52">
        <v>90</v>
      </c>
      <c r="BE9" s="52">
        <v>30</v>
      </c>
      <c r="BF9" s="47"/>
      <c r="BG9" s="52"/>
      <c r="BH9" s="52"/>
      <c r="BI9" s="52">
        <v>90</v>
      </c>
      <c r="BJ9" s="52">
        <v>90</v>
      </c>
      <c r="BK9" s="52">
        <v>90</v>
      </c>
      <c r="BL9" s="52">
        <v>90</v>
      </c>
      <c r="BM9" s="52">
        <v>90</v>
      </c>
      <c r="BN9" s="52">
        <v>90</v>
      </c>
      <c r="BO9" s="52">
        <v>90</v>
      </c>
      <c r="BP9" s="52">
        <v>30</v>
      </c>
      <c r="BQ9" s="52">
        <v>30</v>
      </c>
      <c r="BR9" s="47"/>
      <c r="BS9" s="52"/>
      <c r="BT9" s="52"/>
      <c r="BU9" s="52"/>
      <c r="BV9" s="52">
        <v>90</v>
      </c>
      <c r="BW9" s="52">
        <v>90</v>
      </c>
      <c r="BX9" s="52">
        <v>90</v>
      </c>
      <c r="BY9" s="52">
        <v>90</v>
      </c>
      <c r="BZ9" s="52">
        <v>90</v>
      </c>
      <c r="CA9" s="52">
        <v>90</v>
      </c>
      <c r="CB9" s="52">
        <v>30</v>
      </c>
      <c r="CC9" s="52">
        <v>30</v>
      </c>
      <c r="CD9" s="52">
        <v>30</v>
      </c>
    </row>
    <row r="10" spans="1:82" x14ac:dyDescent="0.25">
      <c r="A10" s="120" t="s">
        <v>837</v>
      </c>
      <c r="B10" s="54" t="s">
        <v>719</v>
      </c>
      <c r="C10" s="54" t="s">
        <v>121</v>
      </c>
      <c r="D10" s="55"/>
      <c r="E10" s="52"/>
      <c r="F10" s="52"/>
      <c r="G10" s="52"/>
      <c r="H10" s="52"/>
      <c r="I10" s="52"/>
      <c r="J10" s="52"/>
      <c r="K10" s="52"/>
      <c r="L10" s="52"/>
      <c r="M10" s="52"/>
      <c r="N10" s="52"/>
      <c r="O10" s="52"/>
      <c r="P10" s="52"/>
      <c r="Q10" s="52"/>
      <c r="R10" s="52"/>
      <c r="S10" s="52"/>
      <c r="T10" s="52"/>
      <c r="U10" s="52"/>
      <c r="V10" s="52"/>
      <c r="W10" s="52"/>
      <c r="X10" s="52"/>
      <c r="Y10" s="47"/>
      <c r="Z10" s="47"/>
      <c r="AA10" s="47"/>
      <c r="AB10" s="52"/>
      <c r="AC10" s="47"/>
      <c r="AD10" s="47"/>
      <c r="AE10" s="47"/>
      <c r="AF10" s="47"/>
      <c r="AG10" s="47"/>
      <c r="AH10" s="47"/>
      <c r="AI10" s="47"/>
      <c r="AJ10" s="47"/>
      <c r="AK10" s="47"/>
      <c r="AL10" s="47"/>
      <c r="AM10" s="47"/>
      <c r="AN10" s="47"/>
      <c r="AO10" s="52"/>
      <c r="AP10" s="52"/>
      <c r="AQ10" s="52"/>
      <c r="AR10" s="47"/>
      <c r="AS10" s="47"/>
      <c r="AT10" s="47"/>
      <c r="AU10" s="47"/>
      <c r="AV10" s="47"/>
      <c r="AW10" s="52"/>
      <c r="AX10" s="52"/>
      <c r="AY10" s="52"/>
      <c r="AZ10" s="52"/>
      <c r="BA10" s="47"/>
      <c r="BB10" s="47"/>
      <c r="BC10" s="47"/>
      <c r="BD10" s="47"/>
      <c r="BE10" s="52"/>
      <c r="BF10" s="47"/>
      <c r="BG10" s="52"/>
      <c r="BH10" s="52"/>
      <c r="BI10" s="52"/>
      <c r="BJ10" s="52"/>
      <c r="BK10" s="47"/>
      <c r="BL10" s="47"/>
      <c r="BM10" s="47"/>
      <c r="BN10" s="47"/>
      <c r="BO10" s="47"/>
      <c r="BP10" s="52"/>
      <c r="BQ10" s="52"/>
      <c r="BR10" s="47"/>
      <c r="BS10" s="52"/>
      <c r="BT10" s="52"/>
      <c r="BU10" s="52"/>
      <c r="BV10" s="52"/>
      <c r="BW10" s="52"/>
      <c r="BX10" s="47"/>
      <c r="BY10" s="47"/>
      <c r="BZ10" s="47"/>
      <c r="CA10" s="47"/>
      <c r="CB10" s="52"/>
      <c r="CC10" s="52"/>
      <c r="CD10" s="52"/>
    </row>
    <row r="11" spans="1:82" ht="26.4" x14ac:dyDescent="0.25">
      <c r="A11" s="120" t="s">
        <v>854</v>
      </c>
      <c r="B11" s="54"/>
      <c r="C11" s="54"/>
      <c r="D11" s="55"/>
      <c r="E11" s="52"/>
      <c r="F11" s="52"/>
      <c r="G11" s="52"/>
      <c r="H11" s="52"/>
      <c r="I11" s="52"/>
      <c r="J11" s="52"/>
      <c r="K11" s="52"/>
      <c r="L11" s="52"/>
      <c r="M11" s="52"/>
      <c r="N11" s="52"/>
      <c r="O11" s="52"/>
      <c r="P11" s="52"/>
      <c r="Q11" s="52"/>
      <c r="R11" s="52"/>
      <c r="S11" s="52"/>
      <c r="T11" s="52"/>
      <c r="U11" s="52"/>
      <c r="V11" s="52"/>
      <c r="W11" s="52"/>
      <c r="X11" s="52"/>
      <c r="Y11" s="47"/>
      <c r="Z11" s="47"/>
      <c r="AA11" s="47"/>
      <c r="AB11" s="52"/>
      <c r="AC11" s="47"/>
      <c r="AD11" s="47"/>
      <c r="AE11" s="47"/>
      <c r="AF11" s="47"/>
      <c r="AG11" s="47"/>
      <c r="AH11" s="47"/>
      <c r="AI11" s="47"/>
      <c r="AJ11" s="47"/>
      <c r="AK11" s="47"/>
      <c r="AL11" s="47"/>
      <c r="AM11" s="47"/>
      <c r="AN11" s="47"/>
      <c r="AO11" s="52"/>
      <c r="AP11" s="52"/>
      <c r="AQ11" s="52"/>
      <c r="AR11" s="47"/>
      <c r="AS11" s="47"/>
      <c r="AT11" s="47"/>
      <c r="AU11" s="47"/>
      <c r="AV11" s="47"/>
      <c r="AW11" s="52"/>
      <c r="AX11" s="52"/>
      <c r="AY11" s="52"/>
      <c r="AZ11" s="52"/>
      <c r="BA11" s="47"/>
      <c r="BB11" s="47"/>
      <c r="BC11" s="47"/>
      <c r="BD11" s="47"/>
      <c r="BE11" s="52"/>
      <c r="BF11" s="47"/>
      <c r="BG11" s="52"/>
      <c r="BH11" s="52"/>
      <c r="BI11" s="52"/>
      <c r="BJ11" s="52"/>
      <c r="BK11" s="47"/>
      <c r="BL11" s="47"/>
      <c r="BM11" s="47"/>
      <c r="BN11" s="47"/>
      <c r="BO11" s="47"/>
      <c r="BP11" s="52"/>
      <c r="BQ11" s="52"/>
      <c r="BR11" s="47"/>
      <c r="BS11" s="52"/>
      <c r="BT11" s="52"/>
      <c r="BU11" s="52"/>
      <c r="BV11" s="52"/>
      <c r="BW11" s="52"/>
      <c r="BX11" s="47"/>
      <c r="BY11" s="47"/>
      <c r="BZ11" s="47"/>
      <c r="CA11" s="47"/>
      <c r="CB11" s="52"/>
      <c r="CC11" s="52"/>
      <c r="CD11" s="52"/>
    </row>
    <row r="12" spans="1:82" ht="26.4" x14ac:dyDescent="0.25">
      <c r="A12" s="120" t="s">
        <v>760</v>
      </c>
      <c r="B12" s="54"/>
      <c r="C12" s="54"/>
      <c r="D12" s="55"/>
      <c r="E12" s="52"/>
      <c r="F12" s="52"/>
      <c r="G12" s="52"/>
      <c r="H12" s="52"/>
      <c r="I12" s="52"/>
      <c r="J12" s="52"/>
      <c r="K12" s="52"/>
      <c r="L12" s="52"/>
      <c r="M12" s="52"/>
      <c r="N12" s="52"/>
      <c r="O12" s="52"/>
      <c r="P12" s="52"/>
      <c r="Q12" s="52"/>
      <c r="R12" s="52"/>
      <c r="S12" s="52"/>
      <c r="T12" s="52"/>
      <c r="U12" s="52"/>
      <c r="V12" s="52"/>
      <c r="W12" s="52"/>
      <c r="X12" s="52"/>
      <c r="Y12" s="47"/>
      <c r="Z12" s="47"/>
      <c r="AA12" s="47"/>
      <c r="AB12" s="52"/>
      <c r="AC12" s="47"/>
      <c r="AD12" s="47"/>
      <c r="AE12" s="47"/>
      <c r="AF12" s="47"/>
      <c r="AG12" s="47"/>
      <c r="AH12" s="47"/>
      <c r="AI12" s="47"/>
      <c r="AJ12" s="47"/>
      <c r="AK12" s="47"/>
      <c r="AL12" s="47"/>
      <c r="AM12" s="47"/>
      <c r="AN12" s="47"/>
      <c r="AO12" s="52"/>
      <c r="AP12" s="52"/>
      <c r="AQ12" s="52"/>
      <c r="AR12" s="47"/>
      <c r="AS12" s="47"/>
      <c r="AT12" s="47"/>
      <c r="AU12" s="47"/>
      <c r="AV12" s="47"/>
      <c r="AW12" s="52"/>
      <c r="AX12" s="52"/>
      <c r="AY12" s="52"/>
      <c r="AZ12" s="52"/>
      <c r="BA12" s="47"/>
      <c r="BB12" s="47"/>
      <c r="BC12" s="47"/>
      <c r="BD12" s="47"/>
      <c r="BE12" s="52"/>
      <c r="BF12" s="47"/>
      <c r="BG12" s="52"/>
      <c r="BH12" s="52"/>
      <c r="BI12" s="52"/>
      <c r="BJ12" s="52"/>
      <c r="BK12" s="47"/>
      <c r="BL12" s="47"/>
      <c r="BM12" s="47"/>
      <c r="BN12" s="47"/>
      <c r="BO12" s="47"/>
      <c r="BP12" s="52"/>
      <c r="BQ12" s="52"/>
      <c r="BR12" s="47"/>
      <c r="BS12" s="52"/>
      <c r="BT12" s="52"/>
      <c r="BU12" s="52"/>
      <c r="BV12" s="52"/>
      <c r="BW12" s="52"/>
      <c r="BX12" s="47"/>
      <c r="BY12" s="47"/>
      <c r="BZ12" s="47"/>
      <c r="CA12" s="47"/>
      <c r="CB12" s="52"/>
      <c r="CC12" s="52"/>
      <c r="CD12" s="52"/>
    </row>
    <row r="13" spans="1:82" x14ac:dyDescent="0.25">
      <c r="A13" s="120" t="s">
        <v>842</v>
      </c>
      <c r="B13" s="54"/>
      <c r="C13" s="54"/>
      <c r="D13" s="55"/>
      <c r="E13" s="52"/>
      <c r="F13" s="52"/>
      <c r="G13" s="52"/>
      <c r="H13" s="52"/>
      <c r="I13" s="52"/>
      <c r="J13" s="52"/>
      <c r="K13" s="52"/>
      <c r="L13" s="52"/>
      <c r="M13" s="52"/>
      <c r="N13" s="52"/>
      <c r="O13" s="52"/>
      <c r="P13" s="52"/>
      <c r="Q13" s="52"/>
      <c r="R13" s="52"/>
      <c r="S13" s="52"/>
      <c r="T13" s="52"/>
      <c r="U13" s="52"/>
      <c r="V13" s="52"/>
      <c r="W13" s="52"/>
      <c r="X13" s="52"/>
      <c r="Y13" s="47"/>
      <c r="Z13" s="47"/>
      <c r="AA13" s="47"/>
      <c r="AB13" s="52"/>
      <c r="AC13" s="47"/>
      <c r="AD13" s="47"/>
      <c r="AE13" s="47"/>
      <c r="AF13" s="47"/>
      <c r="AG13" s="47"/>
      <c r="AH13" s="47"/>
      <c r="AI13" s="47"/>
      <c r="AJ13" s="47"/>
      <c r="AK13" s="47"/>
      <c r="AL13" s="47"/>
      <c r="AM13" s="47"/>
      <c r="AN13" s="47"/>
      <c r="AO13" s="52"/>
      <c r="AP13" s="52"/>
      <c r="AQ13" s="52"/>
      <c r="AR13" s="47"/>
      <c r="AS13" s="47"/>
      <c r="AT13" s="47"/>
      <c r="AU13" s="47"/>
      <c r="AV13" s="47"/>
      <c r="AW13" s="52"/>
      <c r="AX13" s="52"/>
      <c r="AY13" s="52"/>
      <c r="AZ13" s="52"/>
      <c r="BA13" s="47"/>
      <c r="BB13" s="47"/>
      <c r="BC13" s="47"/>
      <c r="BD13" s="47"/>
      <c r="BE13" s="52"/>
      <c r="BF13" s="47"/>
      <c r="BG13" s="52"/>
      <c r="BH13" s="52"/>
      <c r="BI13" s="52"/>
      <c r="BJ13" s="52"/>
      <c r="BK13" s="47"/>
      <c r="BL13" s="47"/>
      <c r="BM13" s="47"/>
      <c r="BN13" s="47"/>
      <c r="BO13" s="47"/>
      <c r="BP13" s="52"/>
      <c r="BQ13" s="52"/>
      <c r="BR13" s="47"/>
      <c r="BS13" s="52"/>
      <c r="BT13" s="52"/>
      <c r="BU13" s="52"/>
      <c r="BV13" s="52"/>
      <c r="BW13" s="52"/>
      <c r="BX13" s="47"/>
      <c r="BY13" s="47"/>
      <c r="BZ13" s="47"/>
      <c r="CA13" s="47"/>
      <c r="CB13" s="52"/>
      <c r="CC13" s="52"/>
      <c r="CD13" s="52"/>
    </row>
    <row r="14" spans="1:82" ht="26.4" x14ac:dyDescent="0.25">
      <c r="A14" s="120" t="s">
        <v>716</v>
      </c>
      <c r="B14" s="54"/>
      <c r="C14" s="54" t="s">
        <v>220</v>
      </c>
      <c r="D14" s="55">
        <f>MIN(E14:BC14)</f>
        <v>3</v>
      </c>
      <c r="E14" s="52"/>
      <c r="F14" s="52"/>
      <c r="G14" s="52"/>
      <c r="H14" s="52"/>
      <c r="I14" s="52"/>
      <c r="J14" s="52"/>
      <c r="K14" s="52"/>
      <c r="L14" s="52"/>
      <c r="M14" s="52"/>
      <c r="N14" s="52"/>
      <c r="O14" s="52"/>
      <c r="P14" s="52"/>
      <c r="Q14" s="52"/>
      <c r="R14" s="52"/>
      <c r="S14" s="52"/>
      <c r="T14" s="52"/>
      <c r="U14" s="52"/>
      <c r="V14" s="52"/>
      <c r="W14" s="52"/>
      <c r="X14" s="52"/>
      <c r="Y14" s="47"/>
      <c r="Z14" s="47"/>
      <c r="AA14" s="47"/>
      <c r="AB14" s="52"/>
      <c r="AC14" s="47"/>
      <c r="AD14" s="47"/>
      <c r="AE14" s="47"/>
      <c r="AF14" s="47"/>
      <c r="AG14" s="47"/>
      <c r="AH14" s="47"/>
      <c r="AI14" s="47"/>
      <c r="AJ14" s="47"/>
      <c r="AK14" s="47"/>
      <c r="AL14" s="47"/>
      <c r="AM14" s="47"/>
      <c r="AN14" s="47"/>
      <c r="AO14" s="52"/>
      <c r="AP14" s="52"/>
      <c r="AQ14" s="52"/>
      <c r="AR14" s="47"/>
      <c r="AS14" s="47"/>
      <c r="AT14" s="47"/>
      <c r="AU14" s="47"/>
      <c r="AV14" s="47">
        <v>3</v>
      </c>
      <c r="AW14" s="52"/>
      <c r="AX14" s="52"/>
      <c r="AY14" s="52"/>
      <c r="AZ14" s="52"/>
      <c r="BA14" s="47"/>
      <c r="BB14" s="47"/>
      <c r="BC14" s="47"/>
      <c r="BD14" s="47"/>
      <c r="BE14" s="52"/>
      <c r="BF14" s="47">
        <v>3</v>
      </c>
      <c r="BG14" s="52"/>
      <c r="BH14" s="52"/>
      <c r="BI14" s="52"/>
      <c r="BJ14" s="52"/>
      <c r="BK14" s="47"/>
      <c r="BL14" s="47"/>
      <c r="BM14" s="47"/>
      <c r="BN14" s="47"/>
      <c r="BO14" s="47"/>
      <c r="BP14" s="52"/>
      <c r="BQ14" s="52"/>
      <c r="BR14" s="47">
        <v>3</v>
      </c>
      <c r="BS14" s="52"/>
      <c r="BT14" s="52"/>
      <c r="BU14" s="52"/>
      <c r="BV14" s="52"/>
      <c r="BW14" s="52"/>
      <c r="BX14" s="47"/>
      <c r="BY14" s="47"/>
      <c r="BZ14" s="47"/>
      <c r="CA14" s="47"/>
      <c r="CB14" s="52"/>
      <c r="CC14" s="52"/>
      <c r="CD14" s="52"/>
    </row>
    <row r="15" spans="1:82" x14ac:dyDescent="0.25">
      <c r="A15" s="120" t="s">
        <v>858</v>
      </c>
      <c r="B15" s="54"/>
      <c r="C15" s="54"/>
      <c r="D15" s="55"/>
      <c r="E15" s="52"/>
      <c r="F15" s="52"/>
      <c r="G15" s="52"/>
      <c r="H15" s="52"/>
      <c r="I15" s="52"/>
      <c r="J15" s="52"/>
      <c r="K15" s="52"/>
      <c r="L15" s="52"/>
      <c r="M15" s="52"/>
      <c r="N15" s="52"/>
      <c r="O15" s="52"/>
      <c r="P15" s="52"/>
      <c r="Q15" s="52"/>
      <c r="R15" s="52"/>
      <c r="S15" s="52"/>
      <c r="T15" s="52"/>
      <c r="U15" s="52"/>
      <c r="V15" s="52"/>
      <c r="W15" s="52"/>
      <c r="X15" s="52"/>
      <c r="Y15" s="52"/>
      <c r="Z15" s="47"/>
      <c r="AA15" s="47"/>
      <c r="AB15" s="52"/>
      <c r="AC15" s="47"/>
      <c r="AD15" s="47"/>
      <c r="AE15" s="47"/>
      <c r="AF15" s="47"/>
      <c r="AG15" s="47"/>
      <c r="AH15" s="47"/>
      <c r="AI15" s="47"/>
      <c r="AJ15" s="47"/>
      <c r="AK15" s="47"/>
      <c r="AL15" s="47"/>
      <c r="AM15" s="47"/>
      <c r="AN15" s="47"/>
      <c r="AO15" s="52"/>
      <c r="AP15" s="52"/>
      <c r="AQ15" s="52"/>
      <c r="AR15" s="47"/>
      <c r="AS15" s="47"/>
      <c r="AT15" s="47"/>
      <c r="AU15" s="47"/>
      <c r="AV15" s="47"/>
      <c r="AW15" s="52"/>
      <c r="AX15" s="52"/>
      <c r="AY15" s="52"/>
      <c r="AZ15" s="52"/>
      <c r="BA15" s="52"/>
      <c r="BB15" s="52"/>
      <c r="BC15" s="52"/>
      <c r="BD15" s="52"/>
      <c r="BE15" s="52"/>
      <c r="BF15" s="47"/>
      <c r="BG15" s="52"/>
      <c r="BH15" s="52"/>
      <c r="BI15" s="52"/>
      <c r="BJ15" s="52"/>
      <c r="BK15" s="52"/>
      <c r="BL15" s="52"/>
      <c r="BM15" s="52"/>
      <c r="BN15" s="52"/>
      <c r="BO15" s="52"/>
      <c r="BP15" s="52"/>
      <c r="BQ15" s="52"/>
      <c r="BR15" s="47"/>
      <c r="BS15" s="52"/>
      <c r="BT15" s="52"/>
      <c r="BU15" s="52"/>
      <c r="BV15" s="52"/>
      <c r="BW15" s="52"/>
      <c r="BX15" s="52"/>
      <c r="BY15" s="52"/>
      <c r="BZ15" s="52"/>
      <c r="CA15" s="52"/>
      <c r="CB15" s="52"/>
      <c r="CC15" s="52"/>
      <c r="CD15" s="52"/>
    </row>
    <row r="16" spans="1:82" ht="27.75" customHeight="1" x14ac:dyDescent="0.25">
      <c r="A16" s="120" t="s">
        <v>824</v>
      </c>
      <c r="B16" s="54"/>
      <c r="C16" s="54"/>
      <c r="D16" s="55"/>
      <c r="E16" s="52"/>
      <c r="F16" s="52"/>
      <c r="G16" s="52"/>
      <c r="H16" s="52"/>
      <c r="I16" s="52"/>
      <c r="J16" s="52"/>
      <c r="K16" s="52"/>
      <c r="L16" s="52"/>
      <c r="M16" s="52"/>
      <c r="N16" s="52"/>
      <c r="O16" s="52"/>
      <c r="P16" s="52"/>
      <c r="Q16" s="52"/>
      <c r="R16" s="52"/>
      <c r="S16" s="52"/>
      <c r="T16" s="52"/>
      <c r="U16" s="52"/>
      <c r="V16" s="52"/>
      <c r="W16" s="52"/>
      <c r="X16" s="52"/>
      <c r="Y16" s="47"/>
      <c r="Z16" s="47"/>
      <c r="AA16" s="47"/>
      <c r="AB16" s="52"/>
      <c r="AC16" s="47"/>
      <c r="AD16" s="47"/>
      <c r="AE16" s="47"/>
      <c r="AF16" s="47"/>
      <c r="AG16" s="47"/>
      <c r="AH16" s="47"/>
      <c r="AI16" s="47"/>
      <c r="AJ16" s="47"/>
      <c r="AK16" s="47"/>
      <c r="AL16" s="47"/>
      <c r="AM16" s="47"/>
      <c r="AN16" s="47"/>
      <c r="AO16" s="52"/>
      <c r="AP16" s="52"/>
      <c r="AQ16" s="52"/>
      <c r="AR16" s="47"/>
      <c r="AS16" s="47"/>
      <c r="AT16" s="47"/>
      <c r="AU16" s="47"/>
      <c r="AV16" s="47"/>
      <c r="AW16" s="52"/>
      <c r="AX16" s="52"/>
      <c r="AY16" s="52"/>
      <c r="AZ16" s="52"/>
      <c r="BA16" s="47"/>
      <c r="BB16" s="47"/>
      <c r="BC16" s="47"/>
      <c r="BD16" s="47"/>
      <c r="BE16" s="52"/>
      <c r="BF16" s="47"/>
      <c r="BG16" s="52"/>
      <c r="BH16" s="52"/>
      <c r="BI16" s="52"/>
      <c r="BJ16" s="52"/>
      <c r="BK16" s="47"/>
      <c r="BL16" s="47"/>
      <c r="BM16" s="47"/>
      <c r="BN16" s="47"/>
      <c r="BO16" s="47"/>
      <c r="BP16" s="52"/>
      <c r="BQ16" s="52"/>
      <c r="BR16" s="47"/>
      <c r="BS16" s="52"/>
      <c r="BT16" s="52"/>
      <c r="BU16" s="52"/>
      <c r="BV16" s="52"/>
      <c r="BW16" s="52"/>
      <c r="BX16" s="47"/>
      <c r="BY16" s="47"/>
      <c r="BZ16" s="47"/>
      <c r="CA16" s="47"/>
      <c r="CB16" s="52"/>
      <c r="CC16" s="52"/>
      <c r="CD16" s="52"/>
    </row>
    <row r="17" spans="1:82" ht="39.6" x14ac:dyDescent="0.25">
      <c r="A17" s="120" t="s">
        <v>823</v>
      </c>
      <c r="B17" s="54"/>
      <c r="C17" s="54"/>
      <c r="D17" s="55"/>
      <c r="E17" s="52"/>
      <c r="F17" s="52"/>
      <c r="G17" s="52"/>
      <c r="H17" s="52"/>
      <c r="I17" s="52"/>
      <c r="J17" s="52"/>
      <c r="K17" s="52"/>
      <c r="L17" s="52"/>
      <c r="M17" s="52"/>
      <c r="N17" s="52"/>
      <c r="O17" s="52"/>
      <c r="P17" s="52"/>
      <c r="Q17" s="52"/>
      <c r="R17" s="52"/>
      <c r="S17" s="52"/>
      <c r="T17" s="52"/>
      <c r="U17" s="52"/>
      <c r="V17" s="52"/>
      <c r="W17" s="52"/>
      <c r="X17" s="52"/>
      <c r="Y17" s="47"/>
      <c r="Z17" s="47"/>
      <c r="AA17" s="47"/>
      <c r="AB17" s="52"/>
      <c r="AC17" s="47"/>
      <c r="AD17" s="47"/>
      <c r="AE17" s="47"/>
      <c r="AF17" s="47"/>
      <c r="AG17" s="47"/>
      <c r="AH17" s="47"/>
      <c r="AI17" s="47"/>
      <c r="AJ17" s="47"/>
      <c r="AK17" s="47"/>
      <c r="AL17" s="47"/>
      <c r="AM17" s="47"/>
      <c r="AN17" s="47"/>
      <c r="AO17" s="52"/>
      <c r="AP17" s="52"/>
      <c r="AQ17" s="52"/>
      <c r="AR17" s="47"/>
      <c r="AS17" s="47"/>
      <c r="AT17" s="47"/>
      <c r="AU17" s="47"/>
      <c r="AV17" s="47"/>
      <c r="AW17" s="52"/>
      <c r="AX17" s="52"/>
      <c r="AY17" s="52"/>
      <c r="AZ17" s="52"/>
      <c r="BA17" s="47"/>
      <c r="BB17" s="47"/>
      <c r="BC17" s="47"/>
      <c r="BD17" s="47"/>
      <c r="BE17" s="52"/>
      <c r="BF17" s="47"/>
      <c r="BG17" s="52"/>
      <c r="BH17" s="52"/>
      <c r="BI17" s="52"/>
      <c r="BJ17" s="52"/>
      <c r="BK17" s="47"/>
      <c r="BL17" s="47"/>
      <c r="BM17" s="47"/>
      <c r="BN17" s="47"/>
      <c r="BO17" s="47"/>
      <c r="BP17" s="52"/>
      <c r="BQ17" s="52"/>
      <c r="BR17" s="47"/>
      <c r="BS17" s="52"/>
      <c r="BT17" s="52"/>
      <c r="BU17" s="52"/>
      <c r="BV17" s="52"/>
      <c r="BW17" s="52"/>
      <c r="BX17" s="47"/>
      <c r="BY17" s="47"/>
      <c r="BZ17" s="47"/>
      <c r="CA17" s="47"/>
      <c r="CB17" s="52"/>
      <c r="CC17" s="52"/>
      <c r="CD17" s="52"/>
    </row>
    <row r="18" spans="1:82" x14ac:dyDescent="0.25">
      <c r="A18" s="120" t="s">
        <v>755</v>
      </c>
      <c r="B18" s="54"/>
      <c r="C18" s="54"/>
      <c r="D18" s="55"/>
      <c r="E18" s="52"/>
      <c r="F18" s="52"/>
      <c r="G18" s="52"/>
      <c r="H18" s="52"/>
      <c r="I18" s="52"/>
      <c r="J18" s="52"/>
      <c r="K18" s="52"/>
      <c r="L18" s="52"/>
      <c r="M18" s="52"/>
      <c r="N18" s="52"/>
      <c r="O18" s="52"/>
      <c r="P18" s="52"/>
      <c r="Q18" s="52"/>
      <c r="R18" s="52"/>
      <c r="S18" s="52"/>
      <c r="T18" s="52"/>
      <c r="U18" s="52"/>
      <c r="V18" s="52"/>
      <c r="W18" s="52"/>
      <c r="X18" s="52"/>
      <c r="Y18" s="47"/>
      <c r="Z18" s="47"/>
      <c r="AA18" s="47"/>
      <c r="AB18" s="52"/>
      <c r="AC18" s="47"/>
      <c r="AD18" s="47"/>
      <c r="AE18" s="47"/>
      <c r="AF18" s="47"/>
      <c r="AG18" s="47"/>
      <c r="AH18" s="47"/>
      <c r="AI18" s="47"/>
      <c r="AJ18" s="47"/>
      <c r="AK18" s="47"/>
      <c r="AL18" s="47"/>
      <c r="AM18" s="47"/>
      <c r="AN18" s="47"/>
      <c r="AO18" s="52"/>
      <c r="AP18" s="52"/>
      <c r="AQ18" s="52"/>
      <c r="AR18" s="47"/>
      <c r="AS18" s="47"/>
      <c r="AT18" s="47"/>
      <c r="AU18" s="47"/>
      <c r="AV18" s="47"/>
      <c r="AW18" s="52"/>
      <c r="AX18" s="52"/>
      <c r="AY18" s="52"/>
      <c r="AZ18" s="52"/>
      <c r="BA18" s="47"/>
      <c r="BB18" s="47"/>
      <c r="BC18" s="47"/>
      <c r="BD18" s="47"/>
      <c r="BE18" s="52"/>
      <c r="BF18" s="47"/>
      <c r="BG18" s="52"/>
      <c r="BH18" s="52"/>
      <c r="BI18" s="52"/>
      <c r="BJ18" s="52"/>
      <c r="BK18" s="47"/>
      <c r="BL18" s="47"/>
      <c r="BM18" s="47"/>
      <c r="BN18" s="47"/>
      <c r="BO18" s="47"/>
      <c r="BP18" s="52"/>
      <c r="BQ18" s="52"/>
      <c r="BR18" s="47"/>
      <c r="BS18" s="52"/>
      <c r="BT18" s="52"/>
      <c r="BU18" s="52"/>
      <c r="BV18" s="52"/>
      <c r="BW18" s="52"/>
      <c r="BX18" s="47"/>
      <c r="BY18" s="47"/>
      <c r="BZ18" s="47"/>
      <c r="CA18" s="47"/>
      <c r="CB18" s="52"/>
      <c r="CC18" s="52"/>
      <c r="CD18" s="52"/>
    </row>
    <row r="19" spans="1:82" x14ac:dyDescent="0.25">
      <c r="A19" s="120" t="s">
        <v>859</v>
      </c>
      <c r="B19" s="54"/>
      <c r="C19" s="54"/>
      <c r="D19" s="55"/>
      <c r="E19" s="52"/>
      <c r="F19" s="52"/>
      <c r="G19" s="52"/>
      <c r="H19" s="52"/>
      <c r="I19" s="52"/>
      <c r="J19" s="52"/>
      <c r="K19" s="52"/>
      <c r="L19" s="52"/>
      <c r="M19" s="52"/>
      <c r="N19" s="52"/>
      <c r="O19" s="52"/>
      <c r="P19" s="52"/>
      <c r="Q19" s="52"/>
      <c r="R19" s="52"/>
      <c r="S19" s="52"/>
      <c r="T19" s="52"/>
      <c r="U19" s="52"/>
      <c r="V19" s="52"/>
      <c r="W19" s="52"/>
      <c r="X19" s="52"/>
      <c r="Y19" s="47"/>
      <c r="Z19" s="47"/>
      <c r="AA19" s="47"/>
      <c r="AB19" s="52"/>
      <c r="AC19" s="47"/>
      <c r="AD19" s="47"/>
      <c r="AE19" s="47"/>
      <c r="AF19" s="47"/>
      <c r="AG19" s="47"/>
      <c r="AH19" s="47"/>
      <c r="AI19" s="47"/>
      <c r="AJ19" s="47"/>
      <c r="AK19" s="47"/>
      <c r="AL19" s="47"/>
      <c r="AM19" s="47"/>
      <c r="AN19" s="47"/>
      <c r="AO19" s="52"/>
      <c r="AP19" s="52"/>
      <c r="AQ19" s="52"/>
      <c r="AR19" s="47"/>
      <c r="AS19" s="47"/>
      <c r="AT19" s="47"/>
      <c r="AU19" s="47"/>
      <c r="AV19" s="47"/>
      <c r="AW19" s="52"/>
      <c r="AX19" s="52"/>
      <c r="AY19" s="52"/>
      <c r="AZ19" s="52"/>
      <c r="BA19" s="47"/>
      <c r="BB19" s="47"/>
      <c r="BC19" s="47"/>
      <c r="BD19" s="47"/>
      <c r="BE19" s="52"/>
      <c r="BF19" s="47"/>
      <c r="BG19" s="52"/>
      <c r="BH19" s="52"/>
      <c r="BI19" s="52"/>
      <c r="BJ19" s="52"/>
      <c r="BK19" s="47"/>
      <c r="BL19" s="47"/>
      <c r="BM19" s="47"/>
      <c r="BN19" s="47"/>
      <c r="BO19" s="47"/>
      <c r="BP19" s="52"/>
      <c r="BQ19" s="52"/>
      <c r="BR19" s="47"/>
      <c r="BS19" s="52"/>
      <c r="BT19" s="52"/>
      <c r="BU19" s="52"/>
      <c r="BV19" s="52"/>
      <c r="BW19" s="52"/>
      <c r="BX19" s="47"/>
      <c r="BY19" s="47"/>
      <c r="BZ19" s="47"/>
      <c r="CA19" s="47"/>
      <c r="CB19" s="52"/>
      <c r="CC19" s="52"/>
      <c r="CD19" s="52"/>
    </row>
    <row r="20" spans="1:82" ht="39.6" x14ac:dyDescent="0.25">
      <c r="A20" s="120" t="s">
        <v>853</v>
      </c>
      <c r="B20" s="54"/>
      <c r="C20" s="54"/>
      <c r="D20" s="55"/>
      <c r="E20" s="52"/>
      <c r="F20" s="52"/>
      <c r="G20" s="52"/>
      <c r="H20" s="52"/>
      <c r="I20" s="52"/>
      <c r="J20" s="52"/>
      <c r="K20" s="52"/>
      <c r="L20" s="52"/>
      <c r="M20" s="52"/>
      <c r="N20" s="52"/>
      <c r="O20" s="52"/>
      <c r="P20" s="52"/>
      <c r="Q20" s="52"/>
      <c r="R20" s="52"/>
      <c r="S20" s="52"/>
      <c r="T20" s="52"/>
      <c r="U20" s="52"/>
      <c r="V20" s="52"/>
      <c r="W20" s="52"/>
      <c r="X20" s="52"/>
      <c r="Y20" s="47"/>
      <c r="Z20" s="47"/>
      <c r="AA20" s="47"/>
      <c r="AB20" s="52"/>
      <c r="AC20" s="47"/>
      <c r="AD20" s="47"/>
      <c r="AE20" s="47"/>
      <c r="AF20" s="47"/>
      <c r="AG20" s="47"/>
      <c r="AH20" s="47"/>
      <c r="AI20" s="47"/>
      <c r="AJ20" s="47"/>
      <c r="AK20" s="47"/>
      <c r="AL20" s="47"/>
      <c r="AM20" s="47"/>
      <c r="AN20" s="47"/>
      <c r="AO20" s="52"/>
      <c r="AP20" s="52"/>
      <c r="AQ20" s="52"/>
      <c r="AR20" s="47"/>
      <c r="AS20" s="47"/>
      <c r="AT20" s="47"/>
      <c r="AU20" s="47"/>
      <c r="AV20" s="47"/>
      <c r="AW20" s="52"/>
      <c r="AX20" s="52"/>
      <c r="AY20" s="52"/>
      <c r="AZ20" s="52"/>
      <c r="BA20" s="47"/>
      <c r="BB20" s="47"/>
      <c r="BC20" s="47"/>
      <c r="BD20" s="47"/>
      <c r="BE20" s="52"/>
      <c r="BF20" s="47"/>
      <c r="BG20" s="52"/>
      <c r="BH20" s="52"/>
      <c r="BI20" s="52"/>
      <c r="BJ20" s="52"/>
      <c r="BK20" s="47"/>
      <c r="BL20" s="47"/>
      <c r="BM20" s="47"/>
      <c r="BN20" s="47"/>
      <c r="BO20" s="47"/>
      <c r="BP20" s="52"/>
      <c r="BQ20" s="52"/>
      <c r="BR20" s="47"/>
      <c r="BS20" s="52"/>
      <c r="BT20" s="52"/>
      <c r="BU20" s="52"/>
      <c r="BV20" s="52"/>
      <c r="BW20" s="52"/>
      <c r="BX20" s="47"/>
      <c r="BY20" s="47"/>
      <c r="BZ20" s="47"/>
      <c r="CA20" s="47"/>
      <c r="CB20" s="52"/>
      <c r="CC20" s="52"/>
      <c r="CD20" s="52"/>
    </row>
    <row r="21" spans="1:82" x14ac:dyDescent="0.25">
      <c r="A21" s="120" t="s">
        <v>836</v>
      </c>
      <c r="B21" s="54"/>
      <c r="C21" s="54"/>
      <c r="D21" s="55"/>
      <c r="E21" s="52"/>
      <c r="F21" s="52"/>
      <c r="G21" s="52"/>
      <c r="H21" s="52"/>
      <c r="I21" s="52"/>
      <c r="J21" s="52"/>
      <c r="K21" s="52"/>
      <c r="L21" s="52"/>
      <c r="M21" s="52"/>
      <c r="N21" s="52"/>
      <c r="O21" s="52"/>
      <c r="P21" s="52"/>
      <c r="Q21" s="52"/>
      <c r="R21" s="52"/>
      <c r="S21" s="52"/>
      <c r="T21" s="52"/>
      <c r="U21" s="52"/>
      <c r="V21" s="52"/>
      <c r="W21" s="52"/>
      <c r="X21" s="52"/>
      <c r="Y21" s="47"/>
      <c r="Z21" s="47"/>
      <c r="AA21" s="47"/>
      <c r="AB21" s="52"/>
      <c r="AC21" s="47"/>
      <c r="AD21" s="47"/>
      <c r="AE21" s="47"/>
      <c r="AF21" s="47"/>
      <c r="AG21" s="47"/>
      <c r="AH21" s="47"/>
      <c r="AI21" s="47"/>
      <c r="AJ21" s="47"/>
      <c r="AK21" s="47"/>
      <c r="AL21" s="47"/>
      <c r="AM21" s="47"/>
      <c r="AN21" s="47"/>
      <c r="AO21" s="52"/>
      <c r="AP21" s="52"/>
      <c r="AQ21" s="52"/>
      <c r="AR21" s="47"/>
      <c r="AS21" s="47"/>
      <c r="AT21" s="47"/>
      <c r="AU21" s="47"/>
      <c r="AV21" s="47"/>
      <c r="AW21" s="52"/>
      <c r="AX21" s="52"/>
      <c r="AY21" s="52"/>
      <c r="AZ21" s="52"/>
      <c r="BA21" s="47"/>
      <c r="BB21" s="47"/>
      <c r="BC21" s="47"/>
      <c r="BD21" s="47"/>
      <c r="BE21" s="52"/>
      <c r="BF21" s="47"/>
      <c r="BG21" s="52"/>
      <c r="BH21" s="52"/>
      <c r="BI21" s="52"/>
      <c r="BJ21" s="52"/>
      <c r="BK21" s="47"/>
      <c r="BL21" s="47"/>
      <c r="BM21" s="47"/>
      <c r="BN21" s="47"/>
      <c r="BO21" s="47"/>
      <c r="BP21" s="52"/>
      <c r="BQ21" s="52"/>
      <c r="BR21" s="47"/>
      <c r="BS21" s="52"/>
      <c r="BT21" s="52"/>
      <c r="BU21" s="52"/>
      <c r="BV21" s="52"/>
      <c r="BW21" s="52"/>
      <c r="BX21" s="47"/>
      <c r="BY21" s="47"/>
      <c r="BZ21" s="47"/>
      <c r="CA21" s="47"/>
      <c r="CB21" s="52"/>
      <c r="CC21" s="52"/>
      <c r="CD21" s="52"/>
    </row>
    <row r="22" spans="1:82" x14ac:dyDescent="0.25">
      <c r="A22" s="120" t="s">
        <v>746</v>
      </c>
      <c r="B22" s="54"/>
      <c r="C22" s="54"/>
      <c r="D22" s="55"/>
      <c r="E22" s="52"/>
      <c r="F22" s="52"/>
      <c r="G22" s="52"/>
      <c r="H22" s="52"/>
      <c r="I22" s="52"/>
      <c r="J22" s="52"/>
      <c r="K22" s="52"/>
      <c r="L22" s="52"/>
      <c r="M22" s="52"/>
      <c r="N22" s="52"/>
      <c r="O22" s="52"/>
      <c r="P22" s="52"/>
      <c r="Q22" s="52"/>
      <c r="R22" s="52"/>
      <c r="S22" s="52"/>
      <c r="T22" s="52"/>
      <c r="U22" s="52"/>
      <c r="V22" s="52"/>
      <c r="W22" s="52"/>
      <c r="X22" s="52"/>
      <c r="Y22" s="47"/>
      <c r="Z22" s="47"/>
      <c r="AA22" s="47"/>
      <c r="AB22" s="52"/>
      <c r="AC22" s="47"/>
      <c r="AD22" s="47"/>
      <c r="AE22" s="47"/>
      <c r="AF22" s="47"/>
      <c r="AG22" s="47"/>
      <c r="AH22" s="47"/>
      <c r="AI22" s="47"/>
      <c r="AJ22" s="47"/>
      <c r="AK22" s="47"/>
      <c r="AL22" s="47"/>
      <c r="AM22" s="47"/>
      <c r="AN22" s="47"/>
      <c r="AO22" s="52"/>
      <c r="AP22" s="52"/>
      <c r="AQ22" s="52"/>
      <c r="AR22" s="47"/>
      <c r="AS22" s="47"/>
      <c r="AT22" s="47"/>
      <c r="AU22" s="47"/>
      <c r="AV22" s="47"/>
      <c r="AW22" s="52"/>
      <c r="AX22" s="52"/>
      <c r="AY22" s="52"/>
      <c r="AZ22" s="52"/>
      <c r="BA22" s="47"/>
      <c r="BB22" s="47"/>
      <c r="BC22" s="47"/>
      <c r="BD22" s="47"/>
      <c r="BE22" s="52"/>
      <c r="BF22" s="47"/>
      <c r="BG22" s="52"/>
      <c r="BH22" s="52"/>
      <c r="BI22" s="52"/>
      <c r="BJ22" s="52"/>
      <c r="BK22" s="47"/>
      <c r="BL22" s="47"/>
      <c r="BM22" s="47"/>
      <c r="BN22" s="47"/>
      <c r="BO22" s="47"/>
      <c r="BP22" s="52"/>
      <c r="BQ22" s="52"/>
      <c r="BR22" s="47"/>
      <c r="BS22" s="52"/>
      <c r="BT22" s="52"/>
      <c r="BU22" s="52"/>
      <c r="BV22" s="52"/>
      <c r="BW22" s="52"/>
      <c r="BX22" s="47"/>
      <c r="BY22" s="47"/>
      <c r="BZ22" s="47"/>
      <c r="CA22" s="47"/>
      <c r="CB22" s="52"/>
      <c r="CC22" s="52"/>
      <c r="CD22" s="52"/>
    </row>
    <row r="23" spans="1:82" x14ac:dyDescent="0.25">
      <c r="A23" s="120" t="s">
        <v>870</v>
      </c>
      <c r="B23" s="54"/>
      <c r="C23" s="54"/>
      <c r="D23" s="55"/>
      <c r="E23" s="52"/>
      <c r="F23" s="52"/>
      <c r="G23" s="52"/>
      <c r="H23" s="52"/>
      <c r="I23" s="52"/>
      <c r="J23" s="52"/>
      <c r="K23" s="52"/>
      <c r="L23" s="52"/>
      <c r="M23" s="52"/>
      <c r="N23" s="52"/>
      <c r="O23" s="52"/>
      <c r="P23" s="52"/>
      <c r="Q23" s="52"/>
      <c r="R23" s="52"/>
      <c r="S23" s="52"/>
      <c r="T23" s="52"/>
      <c r="U23" s="52"/>
      <c r="V23" s="52"/>
      <c r="W23" s="52"/>
      <c r="X23" s="52"/>
      <c r="Y23" s="47"/>
      <c r="Z23" s="47"/>
      <c r="AA23" s="47"/>
      <c r="AB23" s="52"/>
      <c r="AC23" s="47"/>
      <c r="AD23" s="47"/>
      <c r="AE23" s="47"/>
      <c r="AF23" s="47"/>
      <c r="AG23" s="47"/>
      <c r="AH23" s="47"/>
      <c r="AI23" s="47"/>
      <c r="AJ23" s="47"/>
      <c r="AK23" s="47"/>
      <c r="AL23" s="47"/>
      <c r="AM23" s="47"/>
      <c r="AN23" s="47"/>
      <c r="AO23" s="52"/>
      <c r="AP23" s="52"/>
      <c r="AQ23" s="52"/>
      <c r="AR23" s="47"/>
      <c r="AS23" s="47"/>
      <c r="AT23" s="47"/>
      <c r="AU23" s="47"/>
      <c r="AV23" s="47"/>
      <c r="AW23" s="52"/>
      <c r="AX23" s="52"/>
      <c r="AY23" s="52"/>
      <c r="AZ23" s="52"/>
      <c r="BA23" s="47"/>
      <c r="BB23" s="47"/>
      <c r="BC23" s="47"/>
      <c r="BD23" s="47"/>
      <c r="BE23" s="52"/>
      <c r="BF23" s="47"/>
      <c r="BG23" s="52"/>
      <c r="BH23" s="52"/>
      <c r="BI23" s="52"/>
      <c r="BJ23" s="52"/>
      <c r="BK23" s="47"/>
      <c r="BL23" s="47"/>
      <c r="BM23" s="47"/>
      <c r="BN23" s="47"/>
      <c r="BO23" s="47"/>
      <c r="BP23" s="52"/>
      <c r="BQ23" s="52"/>
      <c r="BR23" s="47"/>
      <c r="BS23" s="52"/>
      <c r="BT23" s="52"/>
      <c r="BU23" s="52"/>
      <c r="BV23" s="52"/>
      <c r="BW23" s="52"/>
      <c r="BX23" s="47"/>
      <c r="BY23" s="47"/>
      <c r="BZ23" s="47"/>
      <c r="CA23" s="47"/>
      <c r="CB23" s="52"/>
      <c r="CC23" s="52"/>
      <c r="CD23" s="52"/>
    </row>
    <row r="24" spans="1:82" ht="26.4" x14ac:dyDescent="0.25">
      <c r="A24" s="120" t="s">
        <v>835</v>
      </c>
      <c r="B24" s="54"/>
      <c r="C24" s="54"/>
      <c r="D24" s="55"/>
      <c r="E24" s="52"/>
      <c r="F24" s="52"/>
      <c r="G24" s="52"/>
      <c r="H24" s="52"/>
      <c r="I24" s="52"/>
      <c r="J24" s="52"/>
      <c r="K24" s="52"/>
      <c r="L24" s="52"/>
      <c r="M24" s="52"/>
      <c r="N24" s="52"/>
      <c r="O24" s="52"/>
      <c r="P24" s="52"/>
      <c r="Q24" s="52"/>
      <c r="R24" s="52"/>
      <c r="S24" s="52"/>
      <c r="T24" s="52"/>
      <c r="U24" s="52"/>
      <c r="V24" s="52"/>
      <c r="W24" s="52"/>
      <c r="X24" s="52"/>
      <c r="Y24" s="47"/>
      <c r="Z24" s="47"/>
      <c r="AA24" s="47"/>
      <c r="AB24" s="52"/>
      <c r="AC24" s="47"/>
      <c r="AD24" s="47"/>
      <c r="AE24" s="47"/>
      <c r="AF24" s="47"/>
      <c r="AG24" s="47"/>
      <c r="AH24" s="47"/>
      <c r="AI24" s="47"/>
      <c r="AJ24" s="47"/>
      <c r="AK24" s="47"/>
      <c r="AL24" s="47"/>
      <c r="AM24" s="47"/>
      <c r="AN24" s="47"/>
      <c r="AO24" s="52"/>
      <c r="AP24" s="52"/>
      <c r="AQ24" s="52"/>
      <c r="AR24" s="47"/>
      <c r="AS24" s="47"/>
      <c r="AT24" s="47"/>
      <c r="AU24" s="47"/>
      <c r="AV24" s="47"/>
      <c r="AW24" s="52"/>
      <c r="AX24" s="52"/>
      <c r="AY24" s="52"/>
      <c r="AZ24" s="52"/>
      <c r="BA24" s="47"/>
      <c r="BB24" s="47"/>
      <c r="BC24" s="47"/>
      <c r="BD24" s="47"/>
      <c r="BE24" s="52"/>
      <c r="BF24" s="47"/>
      <c r="BG24" s="52"/>
      <c r="BH24" s="52"/>
      <c r="BI24" s="52"/>
      <c r="BJ24" s="52"/>
      <c r="BK24" s="47"/>
      <c r="BL24" s="47"/>
      <c r="BM24" s="47"/>
      <c r="BN24" s="47"/>
      <c r="BO24" s="47"/>
      <c r="BP24" s="52"/>
      <c r="BQ24" s="52"/>
      <c r="BR24" s="47"/>
      <c r="BS24" s="52"/>
      <c r="BT24" s="52"/>
      <c r="BU24" s="52"/>
      <c r="BV24" s="52"/>
      <c r="BW24" s="52"/>
      <c r="BX24" s="47"/>
      <c r="BY24" s="47"/>
      <c r="BZ24" s="47"/>
      <c r="CA24" s="47"/>
      <c r="CB24" s="52"/>
      <c r="CC24" s="52"/>
      <c r="CD24" s="52"/>
    </row>
    <row r="25" spans="1:82" x14ac:dyDescent="0.25">
      <c r="A25" s="120" t="s">
        <v>747</v>
      </c>
      <c r="B25" s="54"/>
      <c r="C25" s="54"/>
      <c r="D25" s="55"/>
      <c r="E25" s="52"/>
      <c r="F25" s="52"/>
      <c r="G25" s="52"/>
      <c r="H25" s="52"/>
      <c r="I25" s="52"/>
      <c r="J25" s="52"/>
      <c r="K25" s="52"/>
      <c r="L25" s="52"/>
      <c r="M25" s="52"/>
      <c r="N25" s="52"/>
      <c r="O25" s="52"/>
      <c r="P25" s="52"/>
      <c r="Q25" s="52"/>
      <c r="R25" s="52"/>
      <c r="S25" s="52"/>
      <c r="T25" s="52"/>
      <c r="U25" s="52"/>
      <c r="V25" s="52"/>
      <c r="W25" s="52"/>
      <c r="X25" s="52"/>
      <c r="Y25" s="47"/>
      <c r="Z25" s="47"/>
      <c r="AA25" s="47"/>
      <c r="AB25" s="52"/>
      <c r="AC25" s="47"/>
      <c r="AD25" s="47"/>
      <c r="AE25" s="47"/>
      <c r="AF25" s="47"/>
      <c r="AG25" s="47"/>
      <c r="AH25" s="47"/>
      <c r="AI25" s="47"/>
      <c r="AJ25" s="47"/>
      <c r="AK25" s="47"/>
      <c r="AL25" s="47"/>
      <c r="AM25" s="47"/>
      <c r="AN25" s="47"/>
      <c r="AO25" s="52"/>
      <c r="AP25" s="52"/>
      <c r="AQ25" s="52"/>
      <c r="AR25" s="47"/>
      <c r="AS25" s="47"/>
      <c r="AT25" s="47"/>
      <c r="AU25" s="47"/>
      <c r="AV25" s="47"/>
      <c r="AW25" s="52"/>
      <c r="AX25" s="52"/>
      <c r="AY25" s="52"/>
      <c r="AZ25" s="52"/>
      <c r="BA25" s="47"/>
      <c r="BB25" s="47"/>
      <c r="BC25" s="47"/>
      <c r="BD25" s="47"/>
      <c r="BE25" s="52"/>
      <c r="BF25" s="47"/>
      <c r="BG25" s="52"/>
      <c r="BH25" s="52"/>
      <c r="BI25" s="52"/>
      <c r="BJ25" s="52"/>
      <c r="BK25" s="47"/>
      <c r="BL25" s="47"/>
      <c r="BM25" s="47"/>
      <c r="BN25" s="47"/>
      <c r="BO25" s="47"/>
      <c r="BP25" s="52"/>
      <c r="BQ25" s="52"/>
      <c r="BR25" s="47"/>
      <c r="BS25" s="52"/>
      <c r="BT25" s="52"/>
      <c r="BU25" s="52"/>
      <c r="BV25" s="52"/>
      <c r="BW25" s="52"/>
      <c r="BX25" s="47"/>
      <c r="BY25" s="47"/>
      <c r="BZ25" s="47"/>
      <c r="CA25" s="47"/>
      <c r="CB25" s="52"/>
      <c r="CC25" s="52"/>
      <c r="CD25" s="52"/>
    </row>
    <row r="26" spans="1:82" x14ac:dyDescent="0.25">
      <c r="A26" s="120" t="s">
        <v>857</v>
      </c>
      <c r="B26" s="54"/>
      <c r="C26" s="54"/>
      <c r="D26" s="55"/>
      <c r="E26" s="52"/>
      <c r="F26" s="52"/>
      <c r="G26" s="52"/>
      <c r="H26" s="52"/>
      <c r="I26" s="52"/>
      <c r="J26" s="52"/>
      <c r="K26" s="52"/>
      <c r="L26" s="52"/>
      <c r="M26" s="52"/>
      <c r="N26" s="52"/>
      <c r="O26" s="52"/>
      <c r="P26" s="52"/>
      <c r="Q26" s="52"/>
      <c r="R26" s="52"/>
      <c r="S26" s="52"/>
      <c r="T26" s="52"/>
      <c r="U26" s="52"/>
      <c r="V26" s="52"/>
      <c r="W26" s="52"/>
      <c r="X26" s="52"/>
      <c r="Y26" s="47"/>
      <c r="Z26" s="47"/>
      <c r="AA26" s="47"/>
      <c r="AB26" s="52"/>
      <c r="AC26" s="47"/>
      <c r="AD26" s="47"/>
      <c r="AE26" s="47"/>
      <c r="AF26" s="47"/>
      <c r="AG26" s="47"/>
      <c r="AH26" s="47"/>
      <c r="AI26" s="47"/>
      <c r="AJ26" s="47"/>
      <c r="AK26" s="47"/>
      <c r="AL26" s="47"/>
      <c r="AM26" s="47"/>
      <c r="AN26" s="47"/>
      <c r="AO26" s="52"/>
      <c r="AP26" s="52"/>
      <c r="AQ26" s="52"/>
      <c r="AR26" s="47"/>
      <c r="AS26" s="47"/>
      <c r="AT26" s="47"/>
      <c r="AU26" s="47"/>
      <c r="AV26" s="47"/>
      <c r="AW26" s="52"/>
      <c r="AX26" s="52"/>
      <c r="AY26" s="52"/>
      <c r="AZ26" s="52"/>
      <c r="BA26" s="47"/>
      <c r="BB26" s="47"/>
      <c r="BC26" s="47"/>
      <c r="BD26" s="47"/>
      <c r="BE26" s="52"/>
      <c r="BF26" s="47"/>
      <c r="BG26" s="52"/>
      <c r="BH26" s="52"/>
      <c r="BI26" s="52"/>
      <c r="BJ26" s="52"/>
      <c r="BK26" s="47"/>
      <c r="BL26" s="47"/>
      <c r="BM26" s="47"/>
      <c r="BN26" s="47"/>
      <c r="BO26" s="47"/>
      <c r="BP26" s="52"/>
      <c r="BQ26" s="52"/>
      <c r="BR26" s="47"/>
      <c r="BS26" s="52"/>
      <c r="BT26" s="52"/>
      <c r="BU26" s="52"/>
      <c r="BV26" s="52"/>
      <c r="BW26" s="52"/>
      <c r="BX26" s="47"/>
      <c r="BY26" s="47"/>
      <c r="BZ26" s="47"/>
      <c r="CA26" s="47"/>
      <c r="CB26" s="52"/>
      <c r="CC26" s="52"/>
      <c r="CD26" s="52"/>
    </row>
    <row r="27" spans="1:82" x14ac:dyDescent="0.25">
      <c r="A27" s="120" t="s">
        <v>826</v>
      </c>
      <c r="B27" s="54"/>
      <c r="C27" s="54"/>
      <c r="D27" s="55"/>
      <c r="E27" s="52"/>
      <c r="F27" s="52"/>
      <c r="G27" s="52"/>
      <c r="H27" s="52"/>
      <c r="I27" s="52"/>
      <c r="J27" s="52"/>
      <c r="K27" s="52"/>
      <c r="L27" s="52"/>
      <c r="M27" s="52"/>
      <c r="N27" s="52"/>
      <c r="O27" s="52"/>
      <c r="P27" s="52"/>
      <c r="Q27" s="52"/>
      <c r="R27" s="52"/>
      <c r="S27" s="52"/>
      <c r="T27" s="52"/>
      <c r="U27" s="52"/>
      <c r="V27" s="52"/>
      <c r="W27" s="52"/>
      <c r="X27" s="52"/>
      <c r="Y27" s="47"/>
      <c r="Z27" s="47"/>
      <c r="AA27" s="47"/>
      <c r="AB27" s="52"/>
      <c r="AC27" s="47"/>
      <c r="AD27" s="47"/>
      <c r="AE27" s="47"/>
      <c r="AF27" s="47"/>
      <c r="AG27" s="47"/>
      <c r="AH27" s="47"/>
      <c r="AI27" s="47"/>
      <c r="AJ27" s="47"/>
      <c r="AK27" s="47"/>
      <c r="AL27" s="47"/>
      <c r="AM27" s="47"/>
      <c r="AN27" s="47"/>
      <c r="AO27" s="52"/>
      <c r="AP27" s="52"/>
      <c r="AQ27" s="52"/>
      <c r="AR27" s="47"/>
      <c r="AS27" s="47"/>
      <c r="AT27" s="47"/>
      <c r="AU27" s="47"/>
      <c r="AV27" s="47"/>
      <c r="AW27" s="52"/>
      <c r="AX27" s="52"/>
      <c r="AY27" s="52"/>
      <c r="AZ27" s="52"/>
      <c r="BA27" s="47"/>
      <c r="BB27" s="47"/>
      <c r="BC27" s="47"/>
      <c r="BD27" s="47"/>
      <c r="BE27" s="52"/>
      <c r="BF27" s="47"/>
      <c r="BG27" s="52"/>
      <c r="BH27" s="52"/>
      <c r="BI27" s="52"/>
      <c r="BJ27" s="52"/>
      <c r="BK27" s="47"/>
      <c r="BL27" s="47"/>
      <c r="BM27" s="47"/>
      <c r="BN27" s="47"/>
      <c r="BO27" s="47"/>
      <c r="BP27" s="52"/>
      <c r="BQ27" s="52"/>
      <c r="BR27" s="47"/>
      <c r="BS27" s="52"/>
      <c r="BT27" s="52"/>
      <c r="BU27" s="52"/>
      <c r="BV27" s="52"/>
      <c r="BW27" s="52"/>
      <c r="BX27" s="47"/>
      <c r="BY27" s="47"/>
      <c r="BZ27" s="47"/>
      <c r="CA27" s="47"/>
      <c r="CB27" s="52"/>
      <c r="CC27" s="52"/>
      <c r="CD27" s="52"/>
    </row>
    <row r="28" spans="1:82" x14ac:dyDescent="0.25">
      <c r="A28" s="120" t="s">
        <v>833</v>
      </c>
      <c r="B28" s="54"/>
      <c r="C28" s="54"/>
      <c r="D28" s="55"/>
      <c r="E28" s="52"/>
      <c r="F28" s="52"/>
      <c r="G28" s="52"/>
      <c r="H28" s="52"/>
      <c r="I28" s="52"/>
      <c r="J28" s="52"/>
      <c r="K28" s="52"/>
      <c r="L28" s="52"/>
      <c r="M28" s="52"/>
      <c r="N28" s="52"/>
      <c r="O28" s="52"/>
      <c r="P28" s="52"/>
      <c r="Q28" s="52"/>
      <c r="R28" s="52"/>
      <c r="S28" s="52"/>
      <c r="T28" s="52"/>
      <c r="U28" s="52"/>
      <c r="V28" s="52"/>
      <c r="W28" s="52"/>
      <c r="X28" s="52"/>
      <c r="Y28" s="47"/>
      <c r="Z28" s="47"/>
      <c r="AA28" s="47"/>
      <c r="AB28" s="52"/>
      <c r="AC28" s="47"/>
      <c r="AD28" s="47"/>
      <c r="AE28" s="47"/>
      <c r="AF28" s="47"/>
      <c r="AG28" s="47"/>
      <c r="AH28" s="47"/>
      <c r="AI28" s="47"/>
      <c r="AJ28" s="47"/>
      <c r="AK28" s="47"/>
      <c r="AL28" s="47"/>
      <c r="AM28" s="47"/>
      <c r="AN28" s="47"/>
      <c r="AO28" s="52"/>
      <c r="AP28" s="52"/>
      <c r="AQ28" s="52"/>
      <c r="AR28" s="47"/>
      <c r="AS28" s="47"/>
      <c r="AT28" s="47"/>
      <c r="AU28" s="47"/>
      <c r="AV28" s="47"/>
      <c r="AW28" s="52"/>
      <c r="AX28" s="52"/>
      <c r="AY28" s="52"/>
      <c r="AZ28" s="52"/>
      <c r="BA28" s="47"/>
      <c r="BB28" s="47"/>
      <c r="BC28" s="47"/>
      <c r="BD28" s="47"/>
      <c r="BE28" s="52"/>
      <c r="BF28" s="47"/>
      <c r="BG28" s="52"/>
      <c r="BH28" s="52"/>
      <c r="BI28" s="52"/>
      <c r="BJ28" s="52"/>
      <c r="BK28" s="47"/>
      <c r="BL28" s="47"/>
      <c r="BM28" s="47"/>
      <c r="BN28" s="47"/>
      <c r="BO28" s="47"/>
      <c r="BP28" s="52"/>
      <c r="BQ28" s="52"/>
      <c r="BR28" s="47"/>
      <c r="BS28" s="52"/>
      <c r="BT28" s="52"/>
      <c r="BU28" s="52"/>
      <c r="BV28" s="52"/>
      <c r="BW28" s="52"/>
      <c r="BX28" s="47"/>
      <c r="BY28" s="47"/>
      <c r="BZ28" s="47"/>
      <c r="CA28" s="47"/>
      <c r="CB28" s="52"/>
      <c r="CC28" s="52"/>
      <c r="CD28" s="52"/>
    </row>
    <row r="29" spans="1:82" x14ac:dyDescent="0.25">
      <c r="A29" s="120" t="s">
        <v>143</v>
      </c>
      <c r="B29" s="54" t="s">
        <v>718</v>
      </c>
      <c r="C29" s="54" t="s">
        <v>121</v>
      </c>
      <c r="D29" s="55">
        <f>MIN(E29:BC29)</f>
        <v>1</v>
      </c>
      <c r="E29" s="52"/>
      <c r="F29" s="52"/>
      <c r="G29" s="52" t="s">
        <v>83</v>
      </c>
      <c r="H29" s="52" t="s">
        <v>83</v>
      </c>
      <c r="I29" s="52" t="s">
        <v>83</v>
      </c>
      <c r="J29" s="52"/>
      <c r="K29" s="52">
        <v>1</v>
      </c>
      <c r="L29" s="52">
        <v>1</v>
      </c>
      <c r="M29" s="52">
        <v>1</v>
      </c>
      <c r="N29" s="52">
        <v>1</v>
      </c>
      <c r="O29" s="52"/>
      <c r="P29" s="52"/>
      <c r="Q29" s="52"/>
      <c r="R29" s="52"/>
      <c r="S29" s="52"/>
      <c r="T29" s="52">
        <v>3</v>
      </c>
      <c r="U29" s="52">
        <v>3</v>
      </c>
      <c r="V29" s="52"/>
      <c r="W29" s="52"/>
      <c r="X29" s="52" t="s">
        <v>83</v>
      </c>
      <c r="Y29" s="52">
        <v>3</v>
      </c>
      <c r="Z29" s="47"/>
      <c r="AA29" s="47">
        <v>30</v>
      </c>
      <c r="AB29" s="52"/>
      <c r="AC29" s="47"/>
      <c r="AD29" s="47"/>
      <c r="AE29" s="47"/>
      <c r="AF29" s="47"/>
      <c r="AG29" s="47">
        <v>30</v>
      </c>
      <c r="AH29" s="47"/>
      <c r="AI29" s="47"/>
      <c r="AJ29" s="47">
        <v>5</v>
      </c>
      <c r="AK29" s="47">
        <v>10</v>
      </c>
      <c r="AL29" s="47">
        <v>3</v>
      </c>
      <c r="AM29" s="47">
        <v>10</v>
      </c>
      <c r="AN29" s="47"/>
      <c r="AO29" s="52"/>
      <c r="AP29" s="52"/>
      <c r="AQ29" s="52"/>
      <c r="AR29" s="47"/>
      <c r="AS29" s="47"/>
      <c r="AT29" s="47"/>
      <c r="AU29" s="47">
        <v>2</v>
      </c>
      <c r="AV29" s="47">
        <v>3</v>
      </c>
      <c r="AW29" s="52">
        <v>14</v>
      </c>
      <c r="AX29" s="52"/>
      <c r="AY29" s="52">
        <v>90</v>
      </c>
      <c r="AZ29" s="52"/>
      <c r="BA29" s="52">
        <v>90</v>
      </c>
      <c r="BB29" s="52">
        <v>90</v>
      </c>
      <c r="BC29" s="52">
        <v>90</v>
      </c>
      <c r="BD29" s="52">
        <v>90</v>
      </c>
      <c r="BE29" s="52"/>
      <c r="BF29" s="47">
        <v>3</v>
      </c>
      <c r="BG29" s="52">
        <v>14</v>
      </c>
      <c r="BH29" s="52"/>
      <c r="BI29" s="52">
        <v>90</v>
      </c>
      <c r="BJ29" s="52"/>
      <c r="BK29" s="52">
        <v>90</v>
      </c>
      <c r="BL29" s="52">
        <v>90</v>
      </c>
      <c r="BM29" s="52">
        <v>90</v>
      </c>
      <c r="BN29" s="52">
        <v>90</v>
      </c>
      <c r="BO29" s="52">
        <v>90</v>
      </c>
      <c r="BP29" s="52"/>
      <c r="BQ29" s="52"/>
      <c r="BR29" s="47">
        <v>3</v>
      </c>
      <c r="BS29" s="52">
        <v>14</v>
      </c>
      <c r="BT29" s="52"/>
      <c r="BU29" s="52"/>
      <c r="BV29" s="52">
        <v>90</v>
      </c>
      <c r="BW29" s="52"/>
      <c r="BX29" s="52">
        <v>90</v>
      </c>
      <c r="BY29" s="52">
        <v>90</v>
      </c>
      <c r="BZ29" s="52">
        <v>90</v>
      </c>
      <c r="CA29" s="52">
        <v>90</v>
      </c>
      <c r="CB29" s="52"/>
      <c r="CC29" s="52"/>
      <c r="CD29" s="52"/>
    </row>
    <row r="30" spans="1:82" ht="13.5" customHeight="1" x14ac:dyDescent="0.25">
      <c r="A30" s="120" t="s">
        <v>868</v>
      </c>
      <c r="B30" s="54"/>
      <c r="C30" s="54"/>
      <c r="D30" s="55"/>
      <c r="E30" s="52"/>
      <c r="F30" s="52"/>
      <c r="G30" s="52"/>
      <c r="H30" s="52"/>
      <c r="I30" s="52"/>
      <c r="J30" s="52"/>
      <c r="K30" s="52"/>
      <c r="L30" s="52"/>
      <c r="M30" s="52"/>
      <c r="N30" s="52"/>
      <c r="O30" s="52"/>
      <c r="P30" s="52"/>
      <c r="Q30" s="52"/>
      <c r="R30" s="52"/>
      <c r="S30" s="52"/>
      <c r="T30" s="52"/>
      <c r="U30" s="52"/>
      <c r="V30" s="52"/>
      <c r="W30" s="52"/>
      <c r="X30" s="52"/>
      <c r="Y30" s="47"/>
      <c r="Z30" s="47"/>
      <c r="AA30" s="47"/>
      <c r="AB30" s="52"/>
      <c r="AC30" s="47"/>
      <c r="AD30" s="47"/>
      <c r="AE30" s="47"/>
      <c r="AF30" s="47"/>
      <c r="AG30" s="47"/>
      <c r="AH30" s="47"/>
      <c r="AI30" s="47"/>
      <c r="AJ30" s="47"/>
      <c r="AK30" s="47"/>
      <c r="AL30" s="47"/>
      <c r="AM30" s="47"/>
      <c r="AN30" s="47"/>
      <c r="AO30" s="52"/>
      <c r="AP30" s="52"/>
      <c r="AQ30" s="52"/>
      <c r="AR30" s="47"/>
      <c r="AS30" s="47"/>
      <c r="AT30" s="47"/>
      <c r="AU30" s="47"/>
      <c r="AV30" s="47"/>
      <c r="AW30" s="52"/>
      <c r="AX30" s="52"/>
      <c r="AY30" s="52"/>
      <c r="AZ30" s="52"/>
      <c r="BA30" s="47"/>
      <c r="BB30" s="47"/>
      <c r="BC30" s="47"/>
      <c r="BD30" s="47"/>
      <c r="BE30" s="52"/>
      <c r="BF30" s="47"/>
      <c r="BG30" s="52"/>
      <c r="BH30" s="52"/>
      <c r="BI30" s="52"/>
      <c r="BJ30" s="52"/>
      <c r="BK30" s="47"/>
      <c r="BL30" s="47"/>
      <c r="BM30" s="47"/>
      <c r="BN30" s="47"/>
      <c r="BO30" s="47"/>
      <c r="BP30" s="52"/>
      <c r="BQ30" s="52"/>
      <c r="BR30" s="47"/>
      <c r="BS30" s="52"/>
      <c r="BT30" s="52"/>
      <c r="BU30" s="52"/>
      <c r="BV30" s="52"/>
      <c r="BW30" s="52"/>
      <c r="BX30" s="47"/>
      <c r="BY30" s="47"/>
      <c r="BZ30" s="47"/>
      <c r="CA30" s="47"/>
      <c r="CB30" s="52"/>
      <c r="CC30" s="52"/>
      <c r="CD30" s="52"/>
    </row>
    <row r="31" spans="1:82" ht="26.4" x14ac:dyDescent="0.25">
      <c r="A31" s="120" t="s">
        <v>726</v>
      </c>
      <c r="B31" s="54" t="s">
        <v>720</v>
      </c>
      <c r="C31" s="54"/>
      <c r="D31" s="55"/>
      <c r="E31" s="52"/>
      <c r="F31" s="52"/>
      <c r="G31" s="52"/>
      <c r="H31" s="52"/>
      <c r="I31" s="52"/>
      <c r="J31" s="52"/>
      <c r="K31" s="52"/>
      <c r="L31" s="52"/>
      <c r="M31" s="52"/>
      <c r="N31" s="52"/>
      <c r="O31" s="52"/>
      <c r="P31" s="52"/>
      <c r="Q31" s="52"/>
      <c r="R31" s="52"/>
      <c r="S31" s="52"/>
      <c r="T31" s="52"/>
      <c r="U31" s="52"/>
      <c r="V31" s="52"/>
      <c r="W31" s="52"/>
      <c r="X31" s="52"/>
      <c r="Y31" s="52"/>
      <c r="Z31" s="47"/>
      <c r="AA31" s="47"/>
      <c r="AB31" s="52"/>
      <c r="AC31" s="47"/>
      <c r="AD31" s="47"/>
      <c r="AE31" s="47"/>
      <c r="AF31" s="47"/>
      <c r="AG31" s="47"/>
      <c r="AH31" s="47"/>
      <c r="AI31" s="47"/>
      <c r="AJ31" s="47"/>
      <c r="AK31" s="47"/>
      <c r="AL31" s="47"/>
      <c r="AM31" s="47"/>
      <c r="AN31" s="47"/>
      <c r="AO31" s="52"/>
      <c r="AP31" s="52"/>
      <c r="AQ31" s="52"/>
      <c r="AR31" s="47"/>
      <c r="AS31" s="47"/>
      <c r="AT31" s="47"/>
      <c r="AU31" s="47"/>
      <c r="AV31" s="47"/>
      <c r="AW31" s="52"/>
      <c r="AX31" s="52"/>
      <c r="AY31" s="52"/>
      <c r="AZ31" s="52"/>
      <c r="BA31" s="47"/>
      <c r="BB31" s="47"/>
      <c r="BC31" s="47"/>
      <c r="BD31" s="47"/>
      <c r="BE31" s="52"/>
      <c r="BF31" s="47"/>
      <c r="BG31" s="52"/>
      <c r="BH31" s="52"/>
      <c r="BI31" s="52"/>
      <c r="BJ31" s="52"/>
      <c r="BK31" s="47"/>
      <c r="BL31" s="47"/>
      <c r="BM31" s="47"/>
      <c r="BN31" s="47"/>
      <c r="BO31" s="47"/>
      <c r="BP31" s="52"/>
      <c r="BQ31" s="52"/>
      <c r="BR31" s="47"/>
      <c r="BS31" s="52"/>
      <c r="BT31" s="52"/>
      <c r="BU31" s="52"/>
      <c r="BV31" s="52"/>
      <c r="BW31" s="52"/>
      <c r="BX31" s="47"/>
      <c r="BY31" s="47"/>
      <c r="BZ31" s="47"/>
      <c r="CA31" s="47"/>
      <c r="CB31" s="52"/>
      <c r="CC31" s="52"/>
      <c r="CD31" s="52"/>
    </row>
    <row r="32" spans="1:82" ht="26.4" x14ac:dyDescent="0.25">
      <c r="A32" s="120" t="s">
        <v>827</v>
      </c>
      <c r="B32" s="54" t="s">
        <v>720</v>
      </c>
      <c r="C32" s="54"/>
      <c r="D32" s="55"/>
      <c r="E32" s="52"/>
      <c r="F32" s="52"/>
      <c r="G32" s="52"/>
      <c r="H32" s="52"/>
      <c r="I32" s="52"/>
      <c r="J32" s="52"/>
      <c r="K32" s="52"/>
      <c r="L32" s="52"/>
      <c r="M32" s="52"/>
      <c r="N32" s="52"/>
      <c r="O32" s="52"/>
      <c r="P32" s="52"/>
      <c r="Q32" s="52"/>
      <c r="R32" s="52"/>
      <c r="S32" s="52"/>
      <c r="T32" s="52"/>
      <c r="U32" s="52"/>
      <c r="V32" s="52"/>
      <c r="W32" s="52"/>
      <c r="X32" s="52"/>
      <c r="Y32" s="47"/>
      <c r="Z32" s="47"/>
      <c r="AA32" s="47"/>
      <c r="AB32" s="52"/>
      <c r="AC32" s="47"/>
      <c r="AD32" s="47"/>
      <c r="AE32" s="47"/>
      <c r="AF32" s="47"/>
      <c r="AG32" s="47"/>
      <c r="AH32" s="47"/>
      <c r="AI32" s="47"/>
      <c r="AJ32" s="47"/>
      <c r="AK32" s="47"/>
      <c r="AL32" s="47"/>
      <c r="AM32" s="47"/>
      <c r="AN32" s="47"/>
      <c r="AO32" s="52"/>
      <c r="AP32" s="52"/>
      <c r="AQ32" s="52"/>
      <c r="AR32" s="47"/>
      <c r="AS32" s="47"/>
      <c r="AT32" s="47"/>
      <c r="AU32" s="47"/>
      <c r="AV32" s="47"/>
      <c r="AW32" s="52"/>
      <c r="AX32" s="52"/>
      <c r="AY32" s="52"/>
      <c r="AZ32" s="52"/>
      <c r="BA32" s="47"/>
      <c r="BB32" s="47"/>
      <c r="BC32" s="47"/>
      <c r="BD32" s="47"/>
      <c r="BE32" s="52"/>
      <c r="BF32" s="47"/>
      <c r="BG32" s="52"/>
      <c r="BH32" s="52"/>
      <c r="BI32" s="52"/>
      <c r="BJ32" s="52"/>
      <c r="BK32" s="47"/>
      <c r="BL32" s="47"/>
      <c r="BM32" s="47"/>
      <c r="BN32" s="47"/>
      <c r="BO32" s="47"/>
      <c r="BP32" s="52"/>
      <c r="BQ32" s="52"/>
      <c r="BR32" s="47"/>
      <c r="BS32" s="52"/>
      <c r="BT32" s="52"/>
      <c r="BU32" s="52"/>
      <c r="BV32" s="52"/>
      <c r="BW32" s="52"/>
      <c r="BX32" s="47"/>
      <c r="BY32" s="47"/>
      <c r="BZ32" s="47"/>
      <c r="CA32" s="47"/>
      <c r="CB32" s="52"/>
      <c r="CC32" s="52"/>
      <c r="CD32" s="52"/>
    </row>
    <row r="33" spans="1:82" ht="26.4" x14ac:dyDescent="0.25">
      <c r="A33" s="120" t="s">
        <v>864</v>
      </c>
      <c r="B33" s="54" t="s">
        <v>720</v>
      </c>
      <c r="C33" s="54"/>
      <c r="D33" s="55"/>
      <c r="E33" s="52"/>
      <c r="F33" s="52"/>
      <c r="G33" s="52"/>
      <c r="H33" s="52"/>
      <c r="I33" s="52"/>
      <c r="J33" s="52"/>
      <c r="K33" s="52"/>
      <c r="L33" s="52"/>
      <c r="M33" s="52"/>
      <c r="N33" s="52"/>
      <c r="O33" s="52"/>
      <c r="P33" s="52"/>
      <c r="Q33" s="52"/>
      <c r="R33" s="52"/>
      <c r="S33" s="52"/>
      <c r="T33" s="52"/>
      <c r="U33" s="52"/>
      <c r="V33" s="52"/>
      <c r="W33" s="52"/>
      <c r="X33" s="52"/>
      <c r="Y33" s="47"/>
      <c r="Z33" s="47"/>
      <c r="AA33" s="47"/>
      <c r="AB33" s="52"/>
      <c r="AC33" s="47"/>
      <c r="AD33" s="47"/>
      <c r="AE33" s="47"/>
      <c r="AF33" s="47"/>
      <c r="AG33" s="47"/>
      <c r="AH33" s="47"/>
      <c r="AI33" s="47"/>
      <c r="AJ33" s="47"/>
      <c r="AK33" s="47"/>
      <c r="AL33" s="47"/>
      <c r="AM33" s="47"/>
      <c r="AN33" s="47"/>
      <c r="AO33" s="52"/>
      <c r="AP33" s="52"/>
      <c r="AQ33" s="52"/>
      <c r="AR33" s="47"/>
      <c r="AS33" s="47"/>
      <c r="AT33" s="47"/>
      <c r="AU33" s="47"/>
      <c r="AV33" s="47"/>
      <c r="AW33" s="52"/>
      <c r="AX33" s="52"/>
      <c r="AY33" s="52"/>
      <c r="AZ33" s="52"/>
      <c r="BA33" s="47"/>
      <c r="BB33" s="47"/>
      <c r="BC33" s="47"/>
      <c r="BD33" s="47"/>
      <c r="BE33" s="52"/>
      <c r="BF33" s="47"/>
      <c r="BG33" s="52"/>
      <c r="BH33" s="52"/>
      <c r="BI33" s="52"/>
      <c r="BJ33" s="52"/>
      <c r="BK33" s="47"/>
      <c r="BL33" s="47"/>
      <c r="BM33" s="47"/>
      <c r="BN33" s="47"/>
      <c r="BO33" s="47"/>
      <c r="BP33" s="52"/>
      <c r="BQ33" s="52"/>
      <c r="BR33" s="47"/>
      <c r="BS33" s="52"/>
      <c r="BT33" s="52"/>
      <c r="BU33" s="52"/>
      <c r="BV33" s="52"/>
      <c r="BW33" s="52"/>
      <c r="BX33" s="47"/>
      <c r="BY33" s="47"/>
      <c r="BZ33" s="47"/>
      <c r="CA33" s="47"/>
      <c r="CB33" s="52"/>
      <c r="CC33" s="52"/>
      <c r="CD33" s="52"/>
    </row>
    <row r="34" spans="1:82" ht="26.4" x14ac:dyDescent="0.25">
      <c r="A34" s="120" t="s">
        <v>856</v>
      </c>
      <c r="B34" s="54" t="s">
        <v>720</v>
      </c>
      <c r="C34" s="54"/>
      <c r="D34" s="55"/>
      <c r="E34" s="52"/>
      <c r="F34" s="52"/>
      <c r="G34" s="52"/>
      <c r="H34" s="52"/>
      <c r="I34" s="52"/>
      <c r="J34" s="52"/>
      <c r="K34" s="52"/>
      <c r="L34" s="52"/>
      <c r="M34" s="52"/>
      <c r="N34" s="52"/>
      <c r="O34" s="52"/>
      <c r="P34" s="52"/>
      <c r="Q34" s="52"/>
      <c r="R34" s="52"/>
      <c r="S34" s="52"/>
      <c r="T34" s="52"/>
      <c r="U34" s="52"/>
      <c r="V34" s="52"/>
      <c r="W34" s="52"/>
      <c r="X34" s="52"/>
      <c r="Y34" s="47"/>
      <c r="Z34" s="47"/>
      <c r="AA34" s="47"/>
      <c r="AB34" s="52"/>
      <c r="AC34" s="47"/>
      <c r="AD34" s="47"/>
      <c r="AE34" s="47"/>
      <c r="AF34" s="47"/>
      <c r="AG34" s="47"/>
      <c r="AH34" s="47"/>
      <c r="AI34" s="47"/>
      <c r="AJ34" s="47"/>
      <c r="AK34" s="47"/>
      <c r="AL34" s="47"/>
      <c r="AM34" s="47"/>
      <c r="AN34" s="47"/>
      <c r="AO34" s="52"/>
      <c r="AP34" s="52"/>
      <c r="AQ34" s="52"/>
      <c r="AR34" s="47"/>
      <c r="AS34" s="47"/>
      <c r="AT34" s="47"/>
      <c r="AU34" s="47"/>
      <c r="AV34" s="47"/>
      <c r="AW34" s="52"/>
      <c r="AX34" s="52"/>
      <c r="AY34" s="52"/>
      <c r="AZ34" s="52"/>
      <c r="BA34" s="47"/>
      <c r="BB34" s="47"/>
      <c r="BC34" s="47"/>
      <c r="BD34" s="47"/>
      <c r="BE34" s="52"/>
      <c r="BF34" s="47"/>
      <c r="BG34" s="52"/>
      <c r="BH34" s="52"/>
      <c r="BI34" s="52"/>
      <c r="BJ34" s="52"/>
      <c r="BK34" s="47"/>
      <c r="BL34" s="47"/>
      <c r="BM34" s="47"/>
      <c r="BN34" s="47"/>
      <c r="BO34" s="47"/>
      <c r="BP34" s="52"/>
      <c r="BQ34" s="52"/>
      <c r="BR34" s="47"/>
      <c r="BS34" s="52"/>
      <c r="BT34" s="52"/>
      <c r="BU34" s="52"/>
      <c r="BV34" s="52"/>
      <c r="BW34" s="52"/>
      <c r="BX34" s="47"/>
      <c r="BY34" s="47"/>
      <c r="BZ34" s="47"/>
      <c r="CA34" s="47"/>
      <c r="CB34" s="52"/>
      <c r="CC34" s="52"/>
      <c r="CD34" s="52"/>
    </row>
    <row r="35" spans="1:82" x14ac:dyDescent="0.25">
      <c r="A35" s="120" t="s">
        <v>712</v>
      </c>
      <c r="B35" s="54" t="s">
        <v>718</v>
      </c>
      <c r="C35" s="54" t="s">
        <v>121</v>
      </c>
      <c r="D35" s="55">
        <f>MIN(E35:BC35)</f>
        <v>0.16</v>
      </c>
      <c r="E35" s="52">
        <v>30</v>
      </c>
      <c r="F35" s="52">
        <v>0.25</v>
      </c>
      <c r="G35" s="52">
        <v>1</v>
      </c>
      <c r="H35" s="52">
        <v>1</v>
      </c>
      <c r="I35" s="52">
        <v>1</v>
      </c>
      <c r="J35" s="52"/>
      <c r="K35" s="52">
        <v>1</v>
      </c>
      <c r="L35" s="52">
        <v>1</v>
      </c>
      <c r="M35" s="52">
        <v>1</v>
      </c>
      <c r="N35" s="52">
        <v>1</v>
      </c>
      <c r="O35" s="52">
        <v>30</v>
      </c>
      <c r="P35" s="52">
        <v>30</v>
      </c>
      <c r="Q35" s="52">
        <v>30</v>
      </c>
      <c r="R35" s="52">
        <v>30</v>
      </c>
      <c r="S35" s="52">
        <v>30</v>
      </c>
      <c r="T35" s="52">
        <v>3</v>
      </c>
      <c r="U35" s="52">
        <v>3</v>
      </c>
      <c r="V35" s="52">
        <v>30</v>
      </c>
      <c r="W35" s="52">
        <v>0.25</v>
      </c>
      <c r="X35" s="52">
        <v>1</v>
      </c>
      <c r="Y35" s="52">
        <v>3</v>
      </c>
      <c r="Z35" s="47">
        <v>30</v>
      </c>
      <c r="AA35" s="47">
        <v>30</v>
      </c>
      <c r="AB35" s="52">
        <v>1</v>
      </c>
      <c r="AC35" s="47">
        <v>1</v>
      </c>
      <c r="AD35" s="47">
        <v>0.16</v>
      </c>
      <c r="AE35" s="47">
        <v>0.16</v>
      </c>
      <c r="AF35" s="47">
        <v>30</v>
      </c>
      <c r="AG35" s="47">
        <v>30</v>
      </c>
      <c r="AH35" s="47">
        <v>30</v>
      </c>
      <c r="AI35" s="47">
        <v>1</v>
      </c>
      <c r="AJ35" s="47">
        <v>5</v>
      </c>
      <c r="AK35" s="47">
        <v>10</v>
      </c>
      <c r="AL35" s="47">
        <v>3</v>
      </c>
      <c r="AM35" s="47">
        <v>10</v>
      </c>
      <c r="AN35" s="47">
        <v>3</v>
      </c>
      <c r="AO35" s="52">
        <v>30</v>
      </c>
      <c r="AP35" s="52">
        <v>10</v>
      </c>
      <c r="AQ35" s="52">
        <v>30</v>
      </c>
      <c r="AR35" s="52">
        <v>30</v>
      </c>
      <c r="AS35" s="52">
        <v>30</v>
      </c>
      <c r="AT35" s="52">
        <v>30</v>
      </c>
      <c r="AU35" s="47">
        <v>2</v>
      </c>
      <c r="AV35" s="47">
        <v>3</v>
      </c>
      <c r="AW35" s="52">
        <v>14</v>
      </c>
      <c r="AX35" s="52">
        <v>14</v>
      </c>
      <c r="AY35" s="52">
        <v>90</v>
      </c>
      <c r="AZ35" s="52">
        <v>90</v>
      </c>
      <c r="BA35" s="52">
        <v>90</v>
      </c>
      <c r="BB35" s="52">
        <v>90</v>
      </c>
      <c r="BC35" s="52">
        <v>90</v>
      </c>
      <c r="BD35" s="52">
        <v>90</v>
      </c>
      <c r="BE35" s="52">
        <v>30</v>
      </c>
      <c r="BF35" s="47">
        <v>3</v>
      </c>
      <c r="BG35" s="52">
        <v>14</v>
      </c>
      <c r="BH35" s="52">
        <v>14</v>
      </c>
      <c r="BI35" s="52">
        <v>90</v>
      </c>
      <c r="BJ35" s="52">
        <v>90</v>
      </c>
      <c r="BK35" s="52">
        <v>90</v>
      </c>
      <c r="BL35" s="52">
        <v>90</v>
      </c>
      <c r="BM35" s="52">
        <v>90</v>
      </c>
      <c r="BN35" s="52">
        <v>90</v>
      </c>
      <c r="BO35" s="52">
        <v>90</v>
      </c>
      <c r="BP35" s="52">
        <v>30</v>
      </c>
      <c r="BQ35" s="52">
        <v>30</v>
      </c>
      <c r="BR35" s="47">
        <v>3</v>
      </c>
      <c r="BS35" s="52">
        <v>14</v>
      </c>
      <c r="BT35" s="52">
        <v>14</v>
      </c>
      <c r="BU35" s="52">
        <v>14</v>
      </c>
      <c r="BV35" s="52">
        <v>90</v>
      </c>
      <c r="BW35" s="52">
        <v>90</v>
      </c>
      <c r="BX35" s="52">
        <v>90</v>
      </c>
      <c r="BY35" s="52">
        <v>90</v>
      </c>
      <c r="BZ35" s="52">
        <v>90</v>
      </c>
      <c r="CA35" s="52">
        <v>90</v>
      </c>
      <c r="CB35" s="52">
        <v>30</v>
      </c>
      <c r="CC35" s="52">
        <v>30</v>
      </c>
      <c r="CD35" s="52">
        <v>30</v>
      </c>
    </row>
    <row r="36" spans="1:82" ht="26.4" x14ac:dyDescent="0.25">
      <c r="A36" s="120" t="s">
        <v>828</v>
      </c>
      <c r="B36" s="54"/>
      <c r="C36" s="54"/>
      <c r="D36" s="55"/>
      <c r="E36" s="52"/>
      <c r="F36" s="52"/>
      <c r="G36" s="52"/>
      <c r="H36" s="52"/>
      <c r="I36" s="52"/>
      <c r="J36" s="52"/>
      <c r="K36" s="52"/>
      <c r="L36" s="52"/>
      <c r="M36" s="52"/>
      <c r="N36" s="52"/>
      <c r="O36" s="52"/>
      <c r="P36" s="52"/>
      <c r="Q36" s="52"/>
      <c r="R36" s="52"/>
      <c r="S36" s="52"/>
      <c r="T36" s="52"/>
      <c r="U36" s="52"/>
      <c r="V36" s="52"/>
      <c r="W36" s="52"/>
      <c r="X36" s="52"/>
      <c r="Y36" s="47"/>
      <c r="Z36" s="47"/>
      <c r="AA36" s="47"/>
      <c r="AB36" s="52"/>
      <c r="AC36" s="47"/>
      <c r="AD36" s="47"/>
      <c r="AE36" s="47"/>
      <c r="AF36" s="47"/>
      <c r="AG36" s="47"/>
      <c r="AH36" s="47"/>
      <c r="AI36" s="47"/>
      <c r="AJ36" s="47"/>
      <c r="AK36" s="47"/>
      <c r="AL36" s="47"/>
      <c r="AM36" s="47"/>
      <c r="AN36" s="47"/>
      <c r="AO36" s="52"/>
      <c r="AP36" s="52"/>
      <c r="AQ36" s="52"/>
      <c r="AR36" s="47"/>
      <c r="AS36" s="47"/>
      <c r="AT36" s="47"/>
      <c r="AU36" s="47"/>
      <c r="AV36" s="47"/>
      <c r="AW36" s="52"/>
      <c r="AX36" s="52"/>
      <c r="AY36" s="52"/>
      <c r="AZ36" s="52"/>
      <c r="BA36" s="47"/>
      <c r="BB36" s="47"/>
      <c r="BC36" s="47"/>
      <c r="BD36" s="47"/>
      <c r="BE36" s="52"/>
      <c r="BF36" s="47"/>
      <c r="BG36" s="52"/>
      <c r="BH36" s="52"/>
      <c r="BI36" s="52"/>
      <c r="BJ36" s="52"/>
      <c r="BK36" s="47"/>
      <c r="BL36" s="47"/>
      <c r="BM36" s="47"/>
      <c r="BN36" s="47"/>
      <c r="BO36" s="47"/>
      <c r="BP36" s="52"/>
      <c r="BQ36" s="52"/>
      <c r="BR36" s="47"/>
      <c r="BS36" s="52"/>
      <c r="BT36" s="52"/>
      <c r="BU36" s="52"/>
      <c r="BV36" s="52"/>
      <c r="BW36" s="52"/>
      <c r="BX36" s="47"/>
      <c r="BY36" s="47"/>
      <c r="BZ36" s="47"/>
      <c r="CA36" s="47"/>
      <c r="CB36" s="52"/>
      <c r="CC36" s="52"/>
      <c r="CD36" s="52"/>
    </row>
    <row r="37" spans="1:82" x14ac:dyDescent="0.25">
      <c r="A37" s="120" t="s">
        <v>829</v>
      </c>
      <c r="B37" s="54"/>
      <c r="C37" s="54" t="s">
        <v>121</v>
      </c>
      <c r="D37" s="55">
        <f>MIN(E37:BC37)</f>
        <v>3</v>
      </c>
      <c r="E37" s="52"/>
      <c r="F37" s="52"/>
      <c r="G37" s="52"/>
      <c r="H37" s="52"/>
      <c r="I37" s="52"/>
      <c r="J37" s="52"/>
      <c r="K37" s="52"/>
      <c r="L37" s="52"/>
      <c r="M37" s="52"/>
      <c r="N37" s="52"/>
      <c r="O37" s="52"/>
      <c r="P37" s="52"/>
      <c r="Q37" s="52"/>
      <c r="R37" s="52"/>
      <c r="S37" s="52"/>
      <c r="T37" s="52">
        <v>3</v>
      </c>
      <c r="U37" s="52">
        <v>3</v>
      </c>
      <c r="V37" s="52"/>
      <c r="W37" s="52"/>
      <c r="X37" s="52"/>
      <c r="Y37" s="47"/>
      <c r="Z37" s="47"/>
      <c r="AA37" s="47"/>
      <c r="AB37" s="52"/>
      <c r="AC37" s="47"/>
      <c r="AD37" s="47"/>
      <c r="AE37" s="47"/>
      <c r="AF37" s="47">
        <v>30</v>
      </c>
      <c r="AG37" s="47"/>
      <c r="AH37" s="47"/>
      <c r="AI37" s="47"/>
      <c r="AJ37" s="47"/>
      <c r="AK37" s="47">
        <v>10</v>
      </c>
      <c r="AL37" s="47"/>
      <c r="AM37" s="47">
        <v>10</v>
      </c>
      <c r="AN37" s="47"/>
      <c r="AO37" s="52"/>
      <c r="AP37" s="52">
        <v>10</v>
      </c>
      <c r="AQ37" s="52"/>
      <c r="AR37" s="47"/>
      <c r="AS37" s="47"/>
      <c r="AT37" s="47"/>
      <c r="AU37" s="47"/>
      <c r="AV37" s="47"/>
      <c r="AW37" s="52"/>
      <c r="AX37" s="52"/>
      <c r="AY37" s="52">
        <v>90</v>
      </c>
      <c r="AZ37" s="52"/>
      <c r="BA37" s="52">
        <v>90</v>
      </c>
      <c r="BB37" s="52">
        <v>90</v>
      </c>
      <c r="BC37" s="52">
        <v>90</v>
      </c>
      <c r="BD37" s="52">
        <v>90</v>
      </c>
      <c r="BE37" s="52"/>
      <c r="BF37" s="47"/>
      <c r="BG37" s="52"/>
      <c r="BH37" s="52"/>
      <c r="BI37" s="52">
        <v>90</v>
      </c>
      <c r="BJ37" s="52"/>
      <c r="BK37" s="52">
        <v>90</v>
      </c>
      <c r="BL37" s="52">
        <v>90</v>
      </c>
      <c r="BM37" s="52">
        <v>90</v>
      </c>
      <c r="BN37" s="52">
        <v>90</v>
      </c>
      <c r="BO37" s="52">
        <v>90</v>
      </c>
      <c r="BP37" s="52"/>
      <c r="BQ37" s="52"/>
      <c r="BR37" s="47"/>
      <c r="BS37" s="52"/>
      <c r="BT37" s="52"/>
      <c r="BU37" s="52"/>
      <c r="BV37" s="52">
        <v>90</v>
      </c>
      <c r="BW37" s="52"/>
      <c r="BX37" s="52">
        <v>90</v>
      </c>
      <c r="BY37" s="52">
        <v>90</v>
      </c>
      <c r="BZ37" s="52">
        <v>90</v>
      </c>
      <c r="CA37" s="52">
        <v>90</v>
      </c>
      <c r="CB37" s="52"/>
      <c r="CC37" s="52"/>
      <c r="CD37" s="52"/>
    </row>
    <row r="38" spans="1:82" ht="26.4" x14ac:dyDescent="0.25">
      <c r="A38" s="120" t="s">
        <v>830</v>
      </c>
      <c r="B38" s="54"/>
      <c r="C38" s="54"/>
      <c r="D38" s="55"/>
      <c r="E38" s="52"/>
      <c r="F38" s="52"/>
      <c r="G38" s="52"/>
      <c r="H38" s="52"/>
      <c r="I38" s="52"/>
      <c r="J38" s="52"/>
      <c r="K38" s="52"/>
      <c r="L38" s="52"/>
      <c r="M38" s="52"/>
      <c r="N38" s="52"/>
      <c r="O38" s="52"/>
      <c r="P38" s="52"/>
      <c r="Q38" s="52"/>
      <c r="R38" s="52"/>
      <c r="S38" s="52"/>
      <c r="T38" s="52"/>
      <c r="U38" s="52"/>
      <c r="V38" s="52"/>
      <c r="W38" s="52"/>
      <c r="X38" s="52"/>
      <c r="Y38" s="47"/>
      <c r="Z38" s="47"/>
      <c r="AA38" s="47"/>
      <c r="AB38" s="52"/>
      <c r="AC38" s="47"/>
      <c r="AD38" s="47"/>
      <c r="AE38" s="47"/>
      <c r="AF38" s="47"/>
      <c r="AG38" s="47"/>
      <c r="AH38" s="47"/>
      <c r="AI38" s="47"/>
      <c r="AJ38" s="47"/>
      <c r="AK38" s="47"/>
      <c r="AL38" s="47"/>
      <c r="AM38" s="47"/>
      <c r="AN38" s="47"/>
      <c r="AO38" s="52"/>
      <c r="AP38" s="52"/>
      <c r="AQ38" s="52"/>
      <c r="AR38" s="47"/>
      <c r="AS38" s="47"/>
      <c r="AT38" s="47"/>
      <c r="AU38" s="47"/>
      <c r="AV38" s="47"/>
      <c r="AW38" s="52"/>
      <c r="AX38" s="52"/>
      <c r="AY38" s="52"/>
      <c r="AZ38" s="52"/>
      <c r="BA38" s="47"/>
      <c r="BB38" s="47"/>
      <c r="BC38" s="47"/>
      <c r="BD38" s="47"/>
      <c r="BE38" s="52"/>
      <c r="BF38" s="47"/>
      <c r="BG38" s="52"/>
      <c r="BH38" s="52"/>
      <c r="BI38" s="52"/>
      <c r="BJ38" s="52"/>
      <c r="BK38" s="47"/>
      <c r="BL38" s="47"/>
      <c r="BM38" s="47"/>
      <c r="BN38" s="47"/>
      <c r="BO38" s="47"/>
      <c r="BP38" s="52"/>
      <c r="BQ38" s="52"/>
      <c r="BR38" s="47"/>
      <c r="BS38" s="52"/>
      <c r="BT38" s="52"/>
      <c r="BU38" s="52"/>
      <c r="BV38" s="52"/>
      <c r="BW38" s="52"/>
      <c r="BX38" s="47"/>
      <c r="BY38" s="47"/>
      <c r="BZ38" s="47"/>
      <c r="CA38" s="47"/>
      <c r="CB38" s="52"/>
      <c r="CC38" s="52"/>
      <c r="CD38" s="52"/>
    </row>
    <row r="39" spans="1:82" ht="26.4" x14ac:dyDescent="0.25">
      <c r="A39" s="120" t="s">
        <v>843</v>
      </c>
      <c r="B39" s="54" t="s">
        <v>720</v>
      </c>
      <c r="C39" s="54"/>
      <c r="D39" s="55"/>
      <c r="E39" s="52"/>
      <c r="F39" s="52"/>
      <c r="G39" s="52"/>
      <c r="H39" s="52"/>
      <c r="I39" s="52"/>
      <c r="J39" s="52"/>
      <c r="K39" s="52"/>
      <c r="L39" s="52"/>
      <c r="M39" s="52"/>
      <c r="N39" s="52"/>
      <c r="O39" s="52"/>
      <c r="P39" s="52"/>
      <c r="Q39" s="52"/>
      <c r="R39" s="52"/>
      <c r="S39" s="52"/>
      <c r="T39" s="52"/>
      <c r="U39" s="52"/>
      <c r="V39" s="52"/>
      <c r="W39" s="52"/>
      <c r="X39" s="52"/>
      <c r="Y39" s="52"/>
      <c r="Z39" s="47"/>
      <c r="AA39" s="47"/>
      <c r="AB39" s="52"/>
      <c r="AC39" s="47"/>
      <c r="AD39" s="47"/>
      <c r="AE39" s="47"/>
      <c r="AF39" s="47"/>
      <c r="AG39" s="47"/>
      <c r="AH39" s="47"/>
      <c r="AI39" s="47"/>
      <c r="AJ39" s="47"/>
      <c r="AK39" s="47"/>
      <c r="AL39" s="47"/>
      <c r="AM39" s="47"/>
      <c r="AN39" s="47"/>
      <c r="AO39" s="52"/>
      <c r="AP39" s="52"/>
      <c r="AQ39" s="52"/>
      <c r="AR39" s="47"/>
      <c r="AS39" s="47"/>
      <c r="AT39" s="47"/>
      <c r="AU39" s="47"/>
      <c r="AV39" s="47"/>
      <c r="AW39" s="52"/>
      <c r="AX39" s="52"/>
      <c r="AY39" s="52"/>
      <c r="AZ39" s="52"/>
      <c r="BA39" s="47"/>
      <c r="BB39" s="47"/>
      <c r="BC39" s="47"/>
      <c r="BD39" s="47"/>
      <c r="BE39" s="52"/>
      <c r="BF39" s="47"/>
      <c r="BG39" s="52"/>
      <c r="BH39" s="52"/>
      <c r="BI39" s="52"/>
      <c r="BJ39" s="52"/>
      <c r="BK39" s="47"/>
      <c r="BL39" s="47"/>
      <c r="BM39" s="47"/>
      <c r="BN39" s="47"/>
      <c r="BO39" s="47"/>
      <c r="BP39" s="52"/>
      <c r="BQ39" s="52"/>
      <c r="BR39" s="47"/>
      <c r="BS39" s="52"/>
      <c r="BT39" s="52"/>
      <c r="BU39" s="52"/>
      <c r="BV39" s="52"/>
      <c r="BW39" s="52"/>
      <c r="BX39" s="47"/>
      <c r="BY39" s="47"/>
      <c r="BZ39" s="47"/>
      <c r="CA39" s="47"/>
      <c r="CB39" s="52"/>
      <c r="CC39" s="52"/>
      <c r="CD39" s="52"/>
    </row>
    <row r="40" spans="1:82" ht="26.4" x14ac:dyDescent="0.25">
      <c r="A40" s="120" t="s">
        <v>482</v>
      </c>
      <c r="B40" s="54"/>
      <c r="C40" s="54" t="s">
        <v>121</v>
      </c>
      <c r="D40" s="55">
        <f>MIN(E40:BC40)</f>
        <v>30</v>
      </c>
      <c r="E40" s="52"/>
      <c r="F40" s="52"/>
      <c r="G40" s="52"/>
      <c r="H40" s="52"/>
      <c r="I40" s="52"/>
      <c r="J40" s="52"/>
      <c r="K40" s="52"/>
      <c r="L40" s="52"/>
      <c r="M40" s="52"/>
      <c r="N40" s="52"/>
      <c r="O40" s="52"/>
      <c r="P40" s="52"/>
      <c r="Q40" s="52"/>
      <c r="R40" s="52"/>
      <c r="S40" s="52"/>
      <c r="T40" s="52"/>
      <c r="U40" s="52"/>
      <c r="V40" s="52"/>
      <c r="W40" s="52"/>
      <c r="X40" s="52"/>
      <c r="Y40" s="47"/>
      <c r="Z40" s="47"/>
      <c r="AA40" s="47">
        <v>30</v>
      </c>
      <c r="AB40" s="52"/>
      <c r="AC40" s="47"/>
      <c r="AD40" s="47"/>
      <c r="AE40" s="47"/>
      <c r="AF40" s="47"/>
      <c r="AG40" s="47"/>
      <c r="AH40" s="47"/>
      <c r="AI40" s="47"/>
      <c r="AJ40" s="47"/>
      <c r="AK40" s="47"/>
      <c r="AL40" s="47"/>
      <c r="AM40" s="47"/>
      <c r="AN40" s="47"/>
      <c r="AO40" s="52"/>
      <c r="AP40" s="52"/>
      <c r="AQ40" s="52"/>
      <c r="AR40" s="47"/>
      <c r="AS40" s="47"/>
      <c r="AT40" s="47"/>
      <c r="AU40" s="47"/>
      <c r="AV40" s="47"/>
      <c r="AW40" s="52"/>
      <c r="AX40" s="52"/>
      <c r="AY40" s="52"/>
      <c r="AZ40" s="52"/>
      <c r="BA40" s="47"/>
      <c r="BB40" s="47"/>
      <c r="BC40" s="47"/>
      <c r="BD40" s="47"/>
      <c r="BE40" s="52"/>
      <c r="BF40" s="47"/>
      <c r="BG40" s="52"/>
      <c r="BH40" s="52"/>
      <c r="BI40" s="52"/>
      <c r="BJ40" s="52"/>
      <c r="BK40" s="47"/>
      <c r="BL40" s="47"/>
      <c r="BM40" s="47"/>
      <c r="BN40" s="47"/>
      <c r="BO40" s="47"/>
      <c r="BP40" s="52"/>
      <c r="BQ40" s="52"/>
      <c r="BR40" s="47"/>
      <c r="BS40" s="52"/>
      <c r="BT40" s="52"/>
      <c r="BU40" s="52"/>
      <c r="BV40" s="52"/>
      <c r="BW40" s="52"/>
      <c r="BX40" s="47"/>
      <c r="BY40" s="47"/>
      <c r="BZ40" s="47"/>
      <c r="CA40" s="47"/>
      <c r="CB40" s="52"/>
      <c r="CC40" s="52"/>
      <c r="CD40" s="52"/>
    </row>
    <row r="41" spans="1:82" x14ac:dyDescent="0.25">
      <c r="A41" s="120" t="s">
        <v>865</v>
      </c>
      <c r="B41" s="54"/>
      <c r="C41" s="54"/>
      <c r="D41" s="55"/>
      <c r="E41" s="52"/>
      <c r="F41" s="52"/>
      <c r="G41" s="52"/>
      <c r="H41" s="52"/>
      <c r="I41" s="52"/>
      <c r="J41" s="52"/>
      <c r="K41" s="52"/>
      <c r="L41" s="52"/>
      <c r="M41" s="52"/>
      <c r="N41" s="52"/>
      <c r="O41" s="52"/>
      <c r="P41" s="52"/>
      <c r="Q41" s="52"/>
      <c r="R41" s="52"/>
      <c r="S41" s="52"/>
      <c r="T41" s="52"/>
      <c r="U41" s="52"/>
      <c r="V41" s="52"/>
      <c r="W41" s="52"/>
      <c r="X41" s="52"/>
      <c r="Y41" s="47"/>
      <c r="Z41" s="47"/>
      <c r="AA41" s="47"/>
      <c r="AB41" s="52"/>
      <c r="AC41" s="47"/>
      <c r="AD41" s="47"/>
      <c r="AE41" s="47"/>
      <c r="AF41" s="47"/>
      <c r="AG41" s="47"/>
      <c r="AH41" s="47"/>
      <c r="AI41" s="47"/>
      <c r="AJ41" s="47"/>
      <c r="AK41" s="47"/>
      <c r="AL41" s="47"/>
      <c r="AM41" s="47"/>
      <c r="AN41" s="47"/>
      <c r="AO41" s="52"/>
      <c r="AP41" s="52"/>
      <c r="AQ41" s="52"/>
      <c r="AR41" s="47"/>
      <c r="AS41" s="47"/>
      <c r="AT41" s="47"/>
      <c r="AU41" s="47"/>
      <c r="AV41" s="47"/>
      <c r="AW41" s="52"/>
      <c r="AX41" s="52"/>
      <c r="AY41" s="52"/>
      <c r="AZ41" s="52"/>
      <c r="BA41" s="47"/>
      <c r="BB41" s="47"/>
      <c r="BC41" s="47"/>
      <c r="BD41" s="47"/>
      <c r="BE41" s="52"/>
      <c r="BF41" s="47"/>
      <c r="BG41" s="52"/>
      <c r="BH41" s="52"/>
      <c r="BI41" s="52"/>
      <c r="BJ41" s="52"/>
      <c r="BK41" s="47"/>
      <c r="BL41" s="47"/>
      <c r="BM41" s="47"/>
      <c r="BN41" s="47"/>
      <c r="BO41" s="47"/>
      <c r="BP41" s="52"/>
      <c r="BQ41" s="52"/>
      <c r="BR41" s="47"/>
      <c r="BS41" s="52"/>
      <c r="BT41" s="52"/>
      <c r="BU41" s="52"/>
      <c r="BV41" s="52"/>
      <c r="BW41" s="52"/>
      <c r="BX41" s="47"/>
      <c r="BY41" s="47"/>
      <c r="BZ41" s="47"/>
      <c r="CA41" s="47"/>
      <c r="CB41" s="52"/>
      <c r="CC41" s="52"/>
      <c r="CD41" s="52"/>
    </row>
    <row r="42" spans="1:82" ht="26.4" x14ac:dyDescent="0.25">
      <c r="A42" s="120" t="s">
        <v>825</v>
      </c>
      <c r="B42" s="54"/>
      <c r="C42" s="54"/>
      <c r="D42" s="55"/>
      <c r="E42" s="52"/>
      <c r="F42" s="52"/>
      <c r="G42" s="52"/>
      <c r="H42" s="52"/>
      <c r="I42" s="52"/>
      <c r="J42" s="52"/>
      <c r="K42" s="52"/>
      <c r="L42" s="52"/>
      <c r="M42" s="52"/>
      <c r="N42" s="52"/>
      <c r="O42" s="52"/>
      <c r="P42" s="52"/>
      <c r="Q42" s="52"/>
      <c r="R42" s="52"/>
      <c r="S42" s="52"/>
      <c r="T42" s="52"/>
      <c r="U42" s="52"/>
      <c r="V42" s="52"/>
      <c r="W42" s="52"/>
      <c r="X42" s="52"/>
      <c r="Y42" s="47"/>
      <c r="Z42" s="47"/>
      <c r="AA42" s="47"/>
      <c r="AB42" s="52"/>
      <c r="AC42" s="47"/>
      <c r="AD42" s="47"/>
      <c r="AE42" s="47"/>
      <c r="AF42" s="47"/>
      <c r="AG42" s="47"/>
      <c r="AH42" s="47"/>
      <c r="AI42" s="47"/>
      <c r="AJ42" s="47"/>
      <c r="AK42" s="47"/>
      <c r="AL42" s="47"/>
      <c r="AM42" s="47"/>
      <c r="AN42" s="47"/>
      <c r="AO42" s="52"/>
      <c r="AP42" s="52"/>
      <c r="AQ42" s="52"/>
      <c r="AR42" s="47"/>
      <c r="AS42" s="47"/>
      <c r="AT42" s="47"/>
      <c r="AU42" s="47"/>
      <c r="AV42" s="47"/>
      <c r="AW42" s="52"/>
      <c r="AX42" s="52"/>
      <c r="AY42" s="52"/>
      <c r="AZ42" s="52"/>
      <c r="BA42" s="47"/>
      <c r="BB42" s="47"/>
      <c r="BC42" s="47"/>
      <c r="BD42" s="47"/>
      <c r="BE42" s="52"/>
      <c r="BF42" s="47"/>
      <c r="BG42" s="52"/>
      <c r="BH42" s="52"/>
      <c r="BI42" s="52"/>
      <c r="BJ42" s="52"/>
      <c r="BK42" s="47"/>
      <c r="BL42" s="47"/>
      <c r="BM42" s="47"/>
      <c r="BN42" s="47"/>
      <c r="BO42" s="47"/>
      <c r="BP42" s="52"/>
      <c r="BQ42" s="52"/>
      <c r="BR42" s="47"/>
      <c r="BS42" s="52"/>
      <c r="BT42" s="52"/>
      <c r="BU42" s="52"/>
      <c r="BV42" s="52"/>
      <c r="BW42" s="52"/>
      <c r="BX42" s="47"/>
      <c r="BY42" s="47"/>
      <c r="BZ42" s="47"/>
      <c r="CA42" s="47"/>
      <c r="CB42" s="52"/>
      <c r="CC42" s="52"/>
      <c r="CD42" s="52"/>
    </row>
    <row r="43" spans="1:82" ht="39.6" x14ac:dyDescent="0.25">
      <c r="A43" s="120" t="s">
        <v>831</v>
      </c>
      <c r="B43" s="54" t="s">
        <v>719</v>
      </c>
      <c r="C43" s="54"/>
      <c r="D43" s="55"/>
      <c r="E43" s="52"/>
      <c r="F43" s="52"/>
      <c r="G43" s="52"/>
      <c r="H43" s="52"/>
      <c r="I43" s="52"/>
      <c r="J43" s="52"/>
      <c r="K43" s="52"/>
      <c r="L43" s="52"/>
      <c r="M43" s="52"/>
      <c r="N43" s="52"/>
      <c r="O43" s="52"/>
      <c r="P43" s="52"/>
      <c r="Q43" s="52"/>
      <c r="R43" s="52"/>
      <c r="S43" s="52"/>
      <c r="T43" s="52"/>
      <c r="U43" s="52"/>
      <c r="V43" s="52"/>
      <c r="W43" s="52"/>
      <c r="X43" s="52"/>
      <c r="Y43" s="47"/>
      <c r="Z43" s="47"/>
      <c r="AA43" s="47"/>
      <c r="AB43" s="52"/>
      <c r="AC43" s="47"/>
      <c r="AD43" s="47"/>
      <c r="AE43" s="47"/>
      <c r="AF43" s="47"/>
      <c r="AG43" s="47"/>
      <c r="AH43" s="47"/>
      <c r="AI43" s="47"/>
      <c r="AJ43" s="47"/>
      <c r="AK43" s="47"/>
      <c r="AL43" s="47"/>
      <c r="AM43" s="47"/>
      <c r="AN43" s="47"/>
      <c r="AO43" s="52"/>
      <c r="AP43" s="52"/>
      <c r="AQ43" s="52"/>
      <c r="AR43" s="47"/>
      <c r="AS43" s="47"/>
      <c r="AT43" s="47"/>
      <c r="AU43" s="47"/>
      <c r="AV43" s="47"/>
      <c r="AW43" s="52"/>
      <c r="AX43" s="52"/>
      <c r="AY43" s="52"/>
      <c r="AZ43" s="52"/>
      <c r="BA43" s="47"/>
      <c r="BB43" s="47"/>
      <c r="BC43" s="47"/>
      <c r="BD43" s="47"/>
      <c r="BE43" s="52"/>
      <c r="BF43" s="47"/>
      <c r="BG43" s="52"/>
      <c r="BH43" s="52"/>
      <c r="BI43" s="52"/>
      <c r="BJ43" s="52"/>
      <c r="BK43" s="47"/>
      <c r="BL43" s="47"/>
      <c r="BM43" s="47"/>
      <c r="BN43" s="47"/>
      <c r="BO43" s="47"/>
      <c r="BP43" s="52"/>
      <c r="BQ43" s="52"/>
      <c r="BR43" s="47"/>
      <c r="BS43" s="52"/>
      <c r="BT43" s="52"/>
      <c r="BU43" s="52"/>
      <c r="BV43" s="52"/>
      <c r="BW43" s="52"/>
      <c r="BX43" s="47"/>
      <c r="BY43" s="47"/>
      <c r="BZ43" s="47"/>
      <c r="CA43" s="47"/>
      <c r="CB43" s="52"/>
      <c r="CC43" s="52"/>
      <c r="CD43" s="52"/>
    </row>
    <row r="44" spans="1:82" ht="26.4" x14ac:dyDescent="0.25">
      <c r="A44" s="120" t="s">
        <v>216</v>
      </c>
      <c r="B44" s="54"/>
      <c r="C44" s="54" t="s">
        <v>121</v>
      </c>
      <c r="D44" s="55">
        <f>MIN(E44:BC44)</f>
        <v>1</v>
      </c>
      <c r="E44" s="52"/>
      <c r="F44" s="52"/>
      <c r="G44" s="52"/>
      <c r="H44" s="52"/>
      <c r="I44" s="52"/>
      <c r="J44" s="52"/>
      <c r="K44" s="52">
        <v>1</v>
      </c>
      <c r="L44" s="52">
        <v>1</v>
      </c>
      <c r="M44" s="52"/>
      <c r="N44" s="52"/>
      <c r="O44" s="52"/>
      <c r="P44" s="52"/>
      <c r="Q44" s="52"/>
      <c r="R44" s="52"/>
      <c r="S44" s="52"/>
      <c r="T44" s="52"/>
      <c r="U44" s="52"/>
      <c r="V44" s="52"/>
      <c r="W44" s="52"/>
      <c r="X44" s="52"/>
      <c r="Y44" s="47"/>
      <c r="Z44" s="47"/>
      <c r="AA44" s="47"/>
      <c r="AB44" s="52"/>
      <c r="AC44" s="47"/>
      <c r="AD44" s="47"/>
      <c r="AE44" s="47"/>
      <c r="AF44" s="47"/>
      <c r="AG44" s="47"/>
      <c r="AH44" s="47"/>
      <c r="AI44" s="47"/>
      <c r="AJ44" s="47"/>
      <c r="AK44" s="47"/>
      <c r="AL44" s="47"/>
      <c r="AM44" s="47"/>
      <c r="AN44" s="47"/>
      <c r="AO44" s="52"/>
      <c r="AP44" s="52"/>
      <c r="AQ44" s="52"/>
      <c r="AR44" s="47"/>
      <c r="AS44" s="47"/>
      <c r="AT44" s="47"/>
      <c r="AU44" s="47"/>
      <c r="AV44" s="47"/>
      <c r="AW44" s="52"/>
      <c r="AX44" s="52"/>
      <c r="AY44" s="52"/>
      <c r="AZ44" s="52"/>
      <c r="BA44" s="47"/>
      <c r="BB44" s="47"/>
      <c r="BC44" s="47"/>
      <c r="BD44" s="47"/>
      <c r="BE44" s="52"/>
      <c r="BF44" s="47"/>
      <c r="BG44" s="52"/>
      <c r="BH44" s="52"/>
      <c r="BI44" s="52"/>
      <c r="BJ44" s="52"/>
      <c r="BK44" s="47"/>
      <c r="BL44" s="47"/>
      <c r="BM44" s="47"/>
      <c r="BN44" s="47"/>
      <c r="BO44" s="47"/>
      <c r="BP44" s="52"/>
      <c r="BQ44" s="52"/>
      <c r="BR44" s="47"/>
      <c r="BS44" s="52"/>
      <c r="BT44" s="52"/>
      <c r="BU44" s="52"/>
      <c r="BV44" s="52"/>
      <c r="BW44" s="52"/>
      <c r="BX44" s="47"/>
      <c r="BY44" s="47"/>
      <c r="BZ44" s="47"/>
      <c r="CA44" s="47"/>
      <c r="CB44" s="52"/>
      <c r="CC44" s="52"/>
      <c r="CD44" s="52"/>
    </row>
    <row r="45" spans="1:82" x14ac:dyDescent="0.25">
      <c r="A45" s="120" t="s">
        <v>715</v>
      </c>
      <c r="B45" s="54" t="s">
        <v>718</v>
      </c>
      <c r="C45" s="54" t="s">
        <v>225</v>
      </c>
      <c r="D45" s="55">
        <f>MIN(E45:BC45)</f>
        <v>30</v>
      </c>
      <c r="E45" s="52"/>
      <c r="F45" s="52"/>
      <c r="G45" s="52"/>
      <c r="H45" s="52"/>
      <c r="I45" s="52"/>
      <c r="J45" s="52"/>
      <c r="K45" s="52"/>
      <c r="L45" s="52"/>
      <c r="M45" s="52"/>
      <c r="N45" s="52"/>
      <c r="O45" s="52"/>
      <c r="P45" s="52"/>
      <c r="Q45" s="52">
        <v>30</v>
      </c>
      <c r="R45" s="52" t="s">
        <v>83</v>
      </c>
      <c r="S45" s="52"/>
      <c r="T45" s="52"/>
      <c r="U45" s="52"/>
      <c r="V45" s="52"/>
      <c r="W45" s="52"/>
      <c r="X45" s="52"/>
      <c r="Y45" s="47"/>
      <c r="Z45" s="47"/>
      <c r="AA45" s="47"/>
      <c r="AB45" s="52"/>
      <c r="AC45" s="47"/>
      <c r="AD45" s="47"/>
      <c r="AE45" s="47"/>
      <c r="AF45" s="47"/>
      <c r="AG45" s="47">
        <v>30</v>
      </c>
      <c r="AH45" s="47"/>
      <c r="AI45" s="47"/>
      <c r="AJ45" s="47"/>
      <c r="AK45" s="47"/>
      <c r="AL45" s="47"/>
      <c r="AM45" s="47"/>
      <c r="AN45" s="47"/>
      <c r="AO45" s="52"/>
      <c r="AP45" s="52"/>
      <c r="AQ45" s="52"/>
      <c r="AR45" s="47"/>
      <c r="AS45" s="47"/>
      <c r="AT45" s="47"/>
      <c r="AU45" s="47"/>
      <c r="AV45" s="47"/>
      <c r="AW45" s="52"/>
      <c r="AX45" s="52"/>
      <c r="AY45" s="52"/>
      <c r="AZ45" s="52"/>
      <c r="BA45" s="47"/>
      <c r="BB45" s="47"/>
      <c r="BC45" s="47"/>
      <c r="BD45" s="47"/>
      <c r="BE45" s="52">
        <v>30</v>
      </c>
      <c r="BF45" s="47"/>
      <c r="BG45" s="52"/>
      <c r="BH45" s="52"/>
      <c r="BI45" s="52"/>
      <c r="BJ45" s="52"/>
      <c r="BK45" s="47"/>
      <c r="BL45" s="47"/>
      <c r="BM45" s="47"/>
      <c r="BN45" s="47"/>
      <c r="BO45" s="47"/>
      <c r="BP45" s="52">
        <v>30</v>
      </c>
      <c r="BQ45" s="52">
        <v>30</v>
      </c>
      <c r="BR45" s="47"/>
      <c r="BS45" s="52"/>
      <c r="BT45" s="52"/>
      <c r="BU45" s="52"/>
      <c r="BV45" s="52"/>
      <c r="BW45" s="52"/>
      <c r="BX45" s="47"/>
      <c r="BY45" s="47"/>
      <c r="BZ45" s="47"/>
      <c r="CA45" s="47"/>
      <c r="CB45" s="52">
        <v>30</v>
      </c>
      <c r="CC45" s="52">
        <v>30</v>
      </c>
      <c r="CD45" s="52">
        <v>30</v>
      </c>
    </row>
    <row r="46" spans="1:82" x14ac:dyDescent="0.25">
      <c r="A46" s="120" t="s">
        <v>861</v>
      </c>
      <c r="B46" s="54"/>
      <c r="C46" s="54"/>
      <c r="D46" s="55"/>
      <c r="E46" s="52"/>
      <c r="F46" s="52"/>
      <c r="G46" s="52"/>
      <c r="H46" s="52"/>
      <c r="I46" s="52"/>
      <c r="J46" s="52"/>
      <c r="K46" s="52"/>
      <c r="L46" s="52"/>
      <c r="M46" s="52"/>
      <c r="N46" s="52"/>
      <c r="O46" s="52"/>
      <c r="P46" s="52"/>
      <c r="Q46" s="52"/>
      <c r="R46" s="52"/>
      <c r="S46" s="52"/>
      <c r="T46" s="52"/>
      <c r="U46" s="52"/>
      <c r="V46" s="52"/>
      <c r="W46" s="52"/>
      <c r="X46" s="52"/>
      <c r="Y46" s="47"/>
      <c r="Z46" s="47"/>
      <c r="AA46" s="47"/>
      <c r="AB46" s="52"/>
      <c r="AC46" s="47"/>
      <c r="AD46" s="47"/>
      <c r="AE46" s="47"/>
      <c r="AF46" s="47"/>
      <c r="AG46" s="47"/>
      <c r="AH46" s="47"/>
      <c r="AI46" s="47"/>
      <c r="AJ46" s="47"/>
      <c r="AK46" s="47"/>
      <c r="AL46" s="47"/>
      <c r="AM46" s="47"/>
      <c r="AN46" s="47"/>
      <c r="AO46" s="52"/>
      <c r="AP46" s="52"/>
      <c r="AQ46" s="52"/>
      <c r="AR46" s="47"/>
      <c r="AS46" s="47"/>
      <c r="AT46" s="47"/>
      <c r="AU46" s="47"/>
      <c r="AV46" s="47"/>
      <c r="AW46" s="52"/>
      <c r="AX46" s="52"/>
      <c r="AY46" s="52"/>
      <c r="AZ46" s="52"/>
      <c r="BA46" s="47"/>
      <c r="BB46" s="47"/>
      <c r="BC46" s="47"/>
      <c r="BD46" s="47"/>
      <c r="BE46" s="52"/>
      <c r="BF46" s="47"/>
      <c r="BG46" s="52"/>
      <c r="BH46" s="52"/>
      <c r="BI46" s="52"/>
      <c r="BJ46" s="52"/>
      <c r="BK46" s="47"/>
      <c r="BL46" s="47"/>
      <c r="BM46" s="47"/>
      <c r="BN46" s="47"/>
      <c r="BO46" s="47"/>
      <c r="BP46" s="52"/>
      <c r="BQ46" s="52"/>
      <c r="BR46" s="47"/>
      <c r="BS46" s="52"/>
      <c r="BT46" s="52"/>
      <c r="BU46" s="52"/>
      <c r="BV46" s="52"/>
      <c r="BW46" s="52"/>
      <c r="BX46" s="47"/>
      <c r="BY46" s="47"/>
      <c r="BZ46" s="47"/>
      <c r="CA46" s="47"/>
      <c r="CB46" s="52"/>
      <c r="CC46" s="52"/>
      <c r="CD46" s="52"/>
    </row>
    <row r="47" spans="1:82" x14ac:dyDescent="0.25">
      <c r="A47" s="120" t="s">
        <v>862</v>
      </c>
      <c r="B47" s="54"/>
      <c r="C47" s="54"/>
      <c r="D47" s="55"/>
      <c r="E47" s="52"/>
      <c r="F47" s="52"/>
      <c r="G47" s="52"/>
      <c r="H47" s="52"/>
      <c r="I47" s="52"/>
      <c r="J47" s="52"/>
      <c r="K47" s="52"/>
      <c r="L47" s="52"/>
      <c r="M47" s="52"/>
      <c r="N47" s="52"/>
      <c r="O47" s="52"/>
      <c r="P47" s="52"/>
      <c r="Q47" s="52"/>
      <c r="R47" s="52"/>
      <c r="S47" s="52"/>
      <c r="T47" s="52"/>
      <c r="U47" s="52"/>
      <c r="V47" s="52"/>
      <c r="W47" s="52"/>
      <c r="X47" s="52"/>
      <c r="Y47" s="47"/>
      <c r="Z47" s="47"/>
      <c r="AA47" s="47"/>
      <c r="AB47" s="52"/>
      <c r="AC47" s="47"/>
      <c r="AD47" s="47"/>
      <c r="AE47" s="47"/>
      <c r="AF47" s="47"/>
      <c r="AG47" s="47"/>
      <c r="AH47" s="47"/>
      <c r="AI47" s="47"/>
      <c r="AJ47" s="47"/>
      <c r="AK47" s="47"/>
      <c r="AL47" s="47"/>
      <c r="AM47" s="47"/>
      <c r="AN47" s="47"/>
      <c r="AO47" s="52"/>
      <c r="AP47" s="52"/>
      <c r="AQ47" s="52"/>
      <c r="AR47" s="47"/>
      <c r="AS47" s="47"/>
      <c r="AT47" s="47"/>
      <c r="AU47" s="47"/>
      <c r="AV47" s="47"/>
      <c r="AW47" s="52"/>
      <c r="AX47" s="52"/>
      <c r="AY47" s="52"/>
      <c r="AZ47" s="52"/>
      <c r="BA47" s="47"/>
      <c r="BB47" s="47"/>
      <c r="BC47" s="47"/>
      <c r="BD47" s="47"/>
      <c r="BE47" s="52"/>
      <c r="BF47" s="47"/>
      <c r="BG47" s="52"/>
      <c r="BH47" s="52"/>
      <c r="BI47" s="52"/>
      <c r="BJ47" s="52"/>
      <c r="BK47" s="47"/>
      <c r="BL47" s="47"/>
      <c r="BM47" s="47"/>
      <c r="BN47" s="47"/>
      <c r="BO47" s="47"/>
      <c r="BP47" s="52"/>
      <c r="BQ47" s="52"/>
      <c r="BR47" s="47"/>
      <c r="BS47" s="52"/>
      <c r="BT47" s="52"/>
      <c r="BU47" s="52"/>
      <c r="BV47" s="52"/>
      <c r="BW47" s="52"/>
      <c r="BX47" s="47"/>
      <c r="BY47" s="47"/>
      <c r="BZ47" s="47"/>
      <c r="CA47" s="47"/>
      <c r="CB47" s="52"/>
      <c r="CC47" s="52"/>
      <c r="CD47" s="52"/>
    </row>
    <row r="48" spans="1:82" x14ac:dyDescent="0.25">
      <c r="A48" s="120" t="s">
        <v>863</v>
      </c>
      <c r="B48" s="54"/>
      <c r="C48" s="54"/>
      <c r="D48" s="55"/>
      <c r="E48" s="52"/>
      <c r="F48" s="52"/>
      <c r="G48" s="52"/>
      <c r="H48" s="52"/>
      <c r="I48" s="52"/>
      <c r="J48" s="52"/>
      <c r="K48" s="52"/>
      <c r="L48" s="52"/>
      <c r="M48" s="52"/>
      <c r="N48" s="52"/>
      <c r="O48" s="52"/>
      <c r="P48" s="52"/>
      <c r="Q48" s="52"/>
      <c r="R48" s="52"/>
      <c r="S48" s="52"/>
      <c r="T48" s="52"/>
      <c r="U48" s="52"/>
      <c r="V48" s="52"/>
      <c r="W48" s="52"/>
      <c r="X48" s="52"/>
      <c r="Y48" s="47"/>
      <c r="Z48" s="47"/>
      <c r="AA48" s="47"/>
      <c r="AB48" s="52"/>
      <c r="AC48" s="47"/>
      <c r="AD48" s="47"/>
      <c r="AE48" s="47"/>
      <c r="AF48" s="47"/>
      <c r="AG48" s="47"/>
      <c r="AH48" s="47"/>
      <c r="AI48" s="47"/>
      <c r="AJ48" s="47"/>
      <c r="AK48" s="47"/>
      <c r="AL48" s="47"/>
      <c r="AM48" s="47"/>
      <c r="AN48" s="47"/>
      <c r="AO48" s="52"/>
      <c r="AP48" s="52"/>
      <c r="AQ48" s="52"/>
      <c r="AR48" s="47"/>
      <c r="AS48" s="47"/>
      <c r="AT48" s="47"/>
      <c r="AU48" s="47"/>
      <c r="AV48" s="47"/>
      <c r="AW48" s="52"/>
      <c r="AX48" s="52"/>
      <c r="AY48" s="52"/>
      <c r="AZ48" s="52"/>
      <c r="BA48" s="47"/>
      <c r="BB48" s="47"/>
      <c r="BC48" s="47"/>
      <c r="BD48" s="47"/>
      <c r="BE48" s="52"/>
      <c r="BF48" s="47"/>
      <c r="BG48" s="52"/>
      <c r="BH48" s="52"/>
      <c r="BI48" s="52"/>
      <c r="BJ48" s="52"/>
      <c r="BK48" s="47"/>
      <c r="BL48" s="47"/>
      <c r="BM48" s="47"/>
      <c r="BN48" s="47"/>
      <c r="BO48" s="47"/>
      <c r="BP48" s="52"/>
      <c r="BQ48" s="52"/>
      <c r="BR48" s="47"/>
      <c r="BS48" s="52"/>
      <c r="BT48" s="52"/>
      <c r="BU48" s="52"/>
      <c r="BV48" s="52"/>
      <c r="BW48" s="52"/>
      <c r="BX48" s="47"/>
      <c r="BY48" s="47"/>
      <c r="BZ48" s="47"/>
      <c r="CA48" s="47"/>
      <c r="CB48" s="52"/>
      <c r="CC48" s="52"/>
      <c r="CD48" s="52"/>
    </row>
    <row r="49" spans="1:82" x14ac:dyDescent="0.25">
      <c r="A49" s="120" t="s">
        <v>757</v>
      </c>
      <c r="B49" s="54"/>
      <c r="C49" s="54"/>
      <c r="D49" s="55"/>
      <c r="E49" s="52"/>
      <c r="F49" s="52"/>
      <c r="G49" s="52"/>
      <c r="H49" s="52"/>
      <c r="I49" s="52"/>
      <c r="J49" s="52"/>
      <c r="K49" s="52"/>
      <c r="L49" s="52"/>
      <c r="M49" s="52"/>
      <c r="N49" s="52"/>
      <c r="O49" s="52"/>
      <c r="P49" s="52"/>
      <c r="Q49" s="52"/>
      <c r="R49" s="52"/>
      <c r="S49" s="52"/>
      <c r="T49" s="52"/>
      <c r="U49" s="52"/>
      <c r="V49" s="52"/>
      <c r="W49" s="52"/>
      <c r="X49" s="52"/>
      <c r="Y49" s="47"/>
      <c r="Z49" s="47"/>
      <c r="AA49" s="47"/>
      <c r="AB49" s="52"/>
      <c r="AC49" s="47"/>
      <c r="AD49" s="47"/>
      <c r="AE49" s="47"/>
      <c r="AF49" s="47"/>
      <c r="AG49" s="47"/>
      <c r="AH49" s="47"/>
      <c r="AI49" s="47"/>
      <c r="AJ49" s="47"/>
      <c r="AK49" s="47"/>
      <c r="AL49" s="47"/>
      <c r="AM49" s="47"/>
      <c r="AN49" s="47"/>
      <c r="AO49" s="52"/>
      <c r="AP49" s="52"/>
      <c r="AQ49" s="52"/>
      <c r="AR49" s="47"/>
      <c r="AS49" s="47"/>
      <c r="AT49" s="47"/>
      <c r="AU49" s="47"/>
      <c r="AV49" s="47"/>
      <c r="AW49" s="52"/>
      <c r="AX49" s="52"/>
      <c r="AY49" s="52"/>
      <c r="AZ49" s="52"/>
      <c r="BA49" s="47"/>
      <c r="BB49" s="47"/>
      <c r="BC49" s="47"/>
      <c r="BD49" s="47"/>
      <c r="BE49" s="52"/>
      <c r="BF49" s="47"/>
      <c r="BG49" s="52"/>
      <c r="BH49" s="52"/>
      <c r="BI49" s="52"/>
      <c r="BJ49" s="52"/>
      <c r="BK49" s="47"/>
      <c r="BL49" s="47"/>
      <c r="BM49" s="47"/>
      <c r="BN49" s="47"/>
      <c r="BO49" s="47"/>
      <c r="BP49" s="52"/>
      <c r="BQ49" s="52"/>
      <c r="BR49" s="47"/>
      <c r="BS49" s="52"/>
      <c r="BT49" s="52"/>
      <c r="BU49" s="52"/>
      <c r="BV49" s="52"/>
      <c r="BW49" s="52"/>
      <c r="BX49" s="47"/>
      <c r="BY49" s="47"/>
      <c r="BZ49" s="47"/>
      <c r="CA49" s="47"/>
      <c r="CB49" s="52"/>
      <c r="CC49" s="52"/>
      <c r="CD49" s="52"/>
    </row>
    <row r="50" spans="1:82" ht="26.4" x14ac:dyDescent="0.25">
      <c r="A50" s="120" t="s">
        <v>844</v>
      </c>
      <c r="B50" s="54"/>
      <c r="C50" s="54"/>
      <c r="D50" s="55"/>
      <c r="E50" s="52"/>
      <c r="F50" s="52"/>
      <c r="G50" s="52"/>
      <c r="H50" s="52"/>
      <c r="I50" s="52"/>
      <c r="J50" s="52"/>
      <c r="K50" s="52"/>
      <c r="L50" s="52"/>
      <c r="M50" s="52"/>
      <c r="N50" s="52"/>
      <c r="O50" s="52"/>
      <c r="P50" s="52"/>
      <c r="Q50" s="52"/>
      <c r="R50" s="52"/>
      <c r="S50" s="52"/>
      <c r="T50" s="52"/>
      <c r="U50" s="52"/>
      <c r="V50" s="52"/>
      <c r="W50" s="52"/>
      <c r="X50" s="52"/>
      <c r="Y50" s="47"/>
      <c r="Z50" s="47"/>
      <c r="AA50" s="47"/>
      <c r="AB50" s="52"/>
      <c r="AC50" s="47"/>
      <c r="AD50" s="47"/>
      <c r="AE50" s="47"/>
      <c r="AF50" s="47"/>
      <c r="AG50" s="47"/>
      <c r="AH50" s="47"/>
      <c r="AI50" s="47"/>
      <c r="AJ50" s="47"/>
      <c r="AK50" s="47"/>
      <c r="AL50" s="47"/>
      <c r="AM50" s="47"/>
      <c r="AN50" s="47"/>
      <c r="AO50" s="52"/>
      <c r="AP50" s="52"/>
      <c r="AQ50" s="52"/>
      <c r="AR50" s="47"/>
      <c r="AS50" s="47"/>
      <c r="AT50" s="47"/>
      <c r="AU50" s="47"/>
      <c r="AV50" s="47"/>
      <c r="AW50" s="52"/>
      <c r="AX50" s="52"/>
      <c r="AY50" s="52"/>
      <c r="AZ50" s="52"/>
      <c r="BA50" s="47"/>
      <c r="BB50" s="47"/>
      <c r="BC50" s="47"/>
      <c r="BD50" s="47"/>
      <c r="BE50" s="52"/>
      <c r="BF50" s="47"/>
      <c r="BG50" s="52"/>
      <c r="BH50" s="52"/>
      <c r="BI50" s="52"/>
      <c r="BJ50" s="52"/>
      <c r="BK50" s="47"/>
      <c r="BL50" s="47"/>
      <c r="BM50" s="47"/>
      <c r="BN50" s="47"/>
      <c r="BO50" s="47"/>
      <c r="BP50" s="52"/>
      <c r="BQ50" s="52"/>
      <c r="BR50" s="47"/>
      <c r="BS50" s="52"/>
      <c r="BT50" s="52"/>
      <c r="BU50" s="52"/>
      <c r="BV50" s="52"/>
      <c r="BW50" s="52"/>
      <c r="BX50" s="47"/>
      <c r="BY50" s="47"/>
      <c r="BZ50" s="47"/>
      <c r="CA50" s="47"/>
      <c r="CB50" s="52"/>
      <c r="CC50" s="52"/>
      <c r="CD50" s="52"/>
    </row>
    <row r="51" spans="1:82" x14ac:dyDescent="0.25">
      <c r="A51" s="120" t="s">
        <v>852</v>
      </c>
      <c r="B51" s="54"/>
      <c r="C51" s="54"/>
      <c r="D51" s="55"/>
      <c r="E51" s="52"/>
      <c r="F51" s="52"/>
      <c r="G51" s="52"/>
      <c r="H51" s="52"/>
      <c r="I51" s="52"/>
      <c r="J51" s="52"/>
      <c r="K51" s="52"/>
      <c r="L51" s="52"/>
      <c r="M51" s="52"/>
      <c r="N51" s="52"/>
      <c r="O51" s="52"/>
      <c r="P51" s="52"/>
      <c r="Q51" s="52"/>
      <c r="R51" s="52"/>
      <c r="S51" s="52"/>
      <c r="T51" s="52"/>
      <c r="U51" s="52"/>
      <c r="V51" s="52"/>
      <c r="W51" s="52"/>
      <c r="X51" s="52"/>
      <c r="Y51" s="47"/>
      <c r="Z51" s="47"/>
      <c r="AA51" s="47"/>
      <c r="AB51" s="52"/>
      <c r="AC51" s="47"/>
      <c r="AD51" s="47"/>
      <c r="AE51" s="47"/>
      <c r="AF51" s="47"/>
      <c r="AG51" s="47"/>
      <c r="AH51" s="47"/>
      <c r="AI51" s="47"/>
      <c r="AJ51" s="47"/>
      <c r="AK51" s="47"/>
      <c r="AL51" s="47"/>
      <c r="AM51" s="47"/>
      <c r="AN51" s="47"/>
      <c r="AO51" s="52"/>
      <c r="AP51" s="52"/>
      <c r="AQ51" s="52"/>
      <c r="AR51" s="47"/>
      <c r="AS51" s="47"/>
      <c r="AT51" s="47"/>
      <c r="AU51" s="47"/>
      <c r="AV51" s="47"/>
      <c r="AW51" s="52"/>
      <c r="AX51" s="52"/>
      <c r="AY51" s="52"/>
      <c r="AZ51" s="52"/>
      <c r="BA51" s="47"/>
      <c r="BB51" s="47"/>
      <c r="BC51" s="47"/>
      <c r="BD51" s="47"/>
      <c r="BE51" s="52"/>
      <c r="BF51" s="47"/>
      <c r="BG51" s="52"/>
      <c r="BH51" s="52"/>
      <c r="BI51" s="52"/>
      <c r="BJ51" s="52"/>
      <c r="BK51" s="47"/>
      <c r="BL51" s="47"/>
      <c r="BM51" s="47"/>
      <c r="BN51" s="47"/>
      <c r="BO51" s="47"/>
      <c r="BP51" s="52"/>
      <c r="BQ51" s="52"/>
      <c r="BR51" s="47"/>
      <c r="BS51" s="52"/>
      <c r="BT51" s="52"/>
      <c r="BU51" s="52"/>
      <c r="BV51" s="52"/>
      <c r="BW51" s="52"/>
      <c r="BX51" s="47"/>
      <c r="BY51" s="47"/>
      <c r="BZ51" s="47"/>
      <c r="CA51" s="47"/>
      <c r="CB51" s="52"/>
      <c r="CC51" s="52"/>
      <c r="CD51" s="52"/>
    </row>
    <row r="52" spans="1:82" x14ac:dyDescent="0.25">
      <c r="A52" s="120" t="s">
        <v>910</v>
      </c>
      <c r="B52" s="54" t="s">
        <v>718</v>
      </c>
      <c r="C52" s="54" t="s">
        <v>121</v>
      </c>
      <c r="D52" s="55">
        <f>MIN(E52:BC52)</f>
        <v>3</v>
      </c>
      <c r="E52" s="52"/>
      <c r="F52" s="52"/>
      <c r="G52" s="52"/>
      <c r="H52" s="52"/>
      <c r="I52" s="52"/>
      <c r="J52" s="52"/>
      <c r="K52" s="52"/>
      <c r="L52" s="52"/>
      <c r="M52" s="52"/>
      <c r="N52" s="52"/>
      <c r="O52" s="52">
        <v>30</v>
      </c>
      <c r="P52" s="52">
        <v>30</v>
      </c>
      <c r="Q52" s="52">
        <v>30</v>
      </c>
      <c r="R52" s="52">
        <v>30</v>
      </c>
      <c r="S52" s="52">
        <v>30</v>
      </c>
      <c r="T52" s="52">
        <v>3</v>
      </c>
      <c r="U52" s="52"/>
      <c r="V52" s="52"/>
      <c r="W52" s="52"/>
      <c r="X52" s="52"/>
      <c r="Y52" s="47"/>
      <c r="Z52" s="47">
        <v>30</v>
      </c>
      <c r="AA52" s="47"/>
      <c r="AB52" s="52"/>
      <c r="AC52" s="47"/>
      <c r="AD52" s="47"/>
      <c r="AE52" s="47"/>
      <c r="AF52" s="47"/>
      <c r="AG52" s="47"/>
      <c r="AH52" s="47"/>
      <c r="AI52" s="47"/>
      <c r="AJ52" s="47"/>
      <c r="AK52" s="47"/>
      <c r="AL52" s="47"/>
      <c r="AM52" s="47"/>
      <c r="AN52" s="47"/>
      <c r="AO52" s="52">
        <v>30</v>
      </c>
      <c r="AP52" s="52">
        <v>10</v>
      </c>
      <c r="AQ52" s="52"/>
      <c r="AR52" s="47"/>
      <c r="AS52" s="47"/>
      <c r="AT52" s="47"/>
      <c r="AU52" s="47"/>
      <c r="AV52" s="47"/>
      <c r="AW52" s="52"/>
      <c r="AX52" s="52"/>
      <c r="AY52" s="52">
        <v>90</v>
      </c>
      <c r="AZ52" s="52"/>
      <c r="BA52" s="47"/>
      <c r="BB52" s="47"/>
      <c r="BC52" s="47"/>
      <c r="BD52" s="47"/>
      <c r="BE52" s="52">
        <v>30</v>
      </c>
      <c r="BF52" s="47"/>
      <c r="BG52" s="52"/>
      <c r="BH52" s="52"/>
      <c r="BI52" s="52">
        <v>90</v>
      </c>
      <c r="BJ52" s="52"/>
      <c r="BK52" s="47"/>
      <c r="BL52" s="47"/>
      <c r="BM52" s="47"/>
      <c r="BN52" s="47"/>
      <c r="BO52" s="47"/>
      <c r="BP52" s="52">
        <v>30</v>
      </c>
      <c r="BQ52" s="52">
        <v>30</v>
      </c>
      <c r="BR52" s="47"/>
      <c r="BS52" s="52"/>
      <c r="BT52" s="52"/>
      <c r="BU52" s="52"/>
      <c r="BV52" s="52">
        <v>90</v>
      </c>
      <c r="BW52" s="52"/>
      <c r="BX52" s="47"/>
      <c r="BY52" s="47"/>
      <c r="BZ52" s="47"/>
      <c r="CA52" s="47"/>
      <c r="CB52" s="52">
        <v>30</v>
      </c>
      <c r="CC52" s="52">
        <v>30</v>
      </c>
      <c r="CD52" s="52">
        <v>30</v>
      </c>
    </row>
    <row r="53" spans="1:82" x14ac:dyDescent="0.25">
      <c r="A53" s="120" t="s">
        <v>822</v>
      </c>
      <c r="B53" s="54"/>
      <c r="C53" s="54"/>
      <c r="D53" s="55"/>
      <c r="E53" s="52"/>
      <c r="F53" s="52"/>
      <c r="G53" s="52"/>
      <c r="H53" s="52"/>
      <c r="I53" s="52"/>
      <c r="J53" s="52"/>
      <c r="K53" s="52"/>
      <c r="L53" s="52"/>
      <c r="M53" s="52"/>
      <c r="N53" s="52"/>
      <c r="O53" s="52"/>
      <c r="P53" s="52"/>
      <c r="Q53" s="52"/>
      <c r="R53" s="52"/>
      <c r="S53" s="52"/>
      <c r="T53" s="52"/>
      <c r="U53" s="52"/>
      <c r="V53" s="52"/>
      <c r="W53" s="52"/>
      <c r="X53" s="52"/>
      <c r="Y53" s="47"/>
      <c r="Z53" s="47"/>
      <c r="AA53" s="47"/>
      <c r="AB53" s="52"/>
      <c r="AC53" s="47"/>
      <c r="AD53" s="47"/>
      <c r="AE53" s="47"/>
      <c r="AF53" s="47"/>
      <c r="AG53" s="47"/>
      <c r="AH53" s="47"/>
      <c r="AI53" s="47"/>
      <c r="AJ53" s="47"/>
      <c r="AK53" s="47"/>
      <c r="AL53" s="47"/>
      <c r="AM53" s="47"/>
      <c r="AN53" s="47"/>
      <c r="AO53" s="52"/>
      <c r="AP53" s="52"/>
      <c r="AQ53" s="52"/>
      <c r="AR53" s="47"/>
      <c r="AS53" s="47"/>
      <c r="AT53" s="47"/>
      <c r="AU53" s="47"/>
      <c r="AV53" s="47"/>
      <c r="AW53" s="52"/>
      <c r="AX53" s="52"/>
      <c r="AY53" s="52"/>
      <c r="AZ53" s="52"/>
      <c r="BA53" s="47"/>
      <c r="BB53" s="47"/>
      <c r="BC53" s="47"/>
      <c r="BD53" s="47"/>
      <c r="BE53" s="52"/>
      <c r="BF53" s="47"/>
      <c r="BG53" s="52"/>
      <c r="BH53" s="52"/>
      <c r="BI53" s="52"/>
      <c r="BJ53" s="52"/>
      <c r="BK53" s="47"/>
      <c r="BL53" s="47"/>
      <c r="BM53" s="47"/>
      <c r="BN53" s="47"/>
      <c r="BO53" s="47"/>
      <c r="BP53" s="52"/>
      <c r="BQ53" s="52"/>
      <c r="BR53" s="47"/>
      <c r="BS53" s="52"/>
      <c r="BT53" s="52"/>
      <c r="BU53" s="52"/>
      <c r="BV53" s="52"/>
      <c r="BW53" s="52"/>
      <c r="BX53" s="47"/>
      <c r="BY53" s="47"/>
      <c r="BZ53" s="47"/>
      <c r="CA53" s="47"/>
      <c r="CB53" s="52"/>
      <c r="CC53" s="52"/>
      <c r="CD53" s="52"/>
    </row>
    <row r="54" spans="1:82" ht="12.75" customHeight="1" x14ac:dyDescent="0.25">
      <c r="A54" s="120" t="s">
        <v>711</v>
      </c>
      <c r="B54" s="54" t="s">
        <v>500</v>
      </c>
      <c r="C54" s="54" t="s">
        <v>121</v>
      </c>
      <c r="D54" s="55">
        <f>MIN(E54:BC54)</f>
        <v>0.16</v>
      </c>
      <c r="E54" s="52">
        <v>30</v>
      </c>
      <c r="F54" s="52">
        <v>0.25</v>
      </c>
      <c r="G54" s="52">
        <v>1</v>
      </c>
      <c r="H54" s="52">
        <v>1</v>
      </c>
      <c r="I54" s="52">
        <v>1</v>
      </c>
      <c r="J54" s="52"/>
      <c r="K54" s="52">
        <v>1</v>
      </c>
      <c r="L54" s="52">
        <v>1</v>
      </c>
      <c r="M54" s="52">
        <v>1</v>
      </c>
      <c r="N54" s="52">
        <v>1</v>
      </c>
      <c r="O54" s="52"/>
      <c r="P54" s="52">
        <v>30</v>
      </c>
      <c r="Q54" s="52"/>
      <c r="R54" s="52"/>
      <c r="S54" s="52"/>
      <c r="T54" s="52">
        <v>3</v>
      </c>
      <c r="U54" s="52">
        <v>3</v>
      </c>
      <c r="V54" s="52">
        <v>30</v>
      </c>
      <c r="W54" s="52">
        <v>0.25</v>
      </c>
      <c r="X54" s="52">
        <v>1</v>
      </c>
      <c r="Y54" s="47">
        <v>3</v>
      </c>
      <c r="Z54" s="47">
        <v>30</v>
      </c>
      <c r="AA54" s="47">
        <v>30</v>
      </c>
      <c r="AB54" s="52">
        <v>1</v>
      </c>
      <c r="AC54" s="47">
        <v>1</v>
      </c>
      <c r="AD54" s="47">
        <v>0.16</v>
      </c>
      <c r="AE54" s="47">
        <v>0.16</v>
      </c>
      <c r="AF54" s="47">
        <v>30</v>
      </c>
      <c r="AG54" s="47">
        <v>30</v>
      </c>
      <c r="AH54" s="47">
        <v>30</v>
      </c>
      <c r="AI54" s="47">
        <v>1</v>
      </c>
      <c r="AJ54" s="47">
        <v>5</v>
      </c>
      <c r="AK54" s="47">
        <v>10</v>
      </c>
      <c r="AL54" s="47">
        <v>3</v>
      </c>
      <c r="AM54" s="47">
        <v>10</v>
      </c>
      <c r="AN54" s="47">
        <v>3</v>
      </c>
      <c r="AO54" s="52">
        <v>30</v>
      </c>
      <c r="AP54" s="52">
        <v>10</v>
      </c>
      <c r="AQ54" s="52"/>
      <c r="AR54" s="47"/>
      <c r="AS54" s="47"/>
      <c r="AT54" s="47"/>
      <c r="AU54" s="47">
        <v>2</v>
      </c>
      <c r="AV54" s="47">
        <v>3</v>
      </c>
      <c r="AW54" s="52">
        <v>14</v>
      </c>
      <c r="AX54" s="52">
        <v>14</v>
      </c>
      <c r="AY54" s="52">
        <v>90</v>
      </c>
      <c r="AZ54" s="52">
        <v>90</v>
      </c>
      <c r="BA54" s="52">
        <v>90</v>
      </c>
      <c r="BB54" s="52">
        <v>90</v>
      </c>
      <c r="BC54" s="52">
        <v>90</v>
      </c>
      <c r="BD54" s="52">
        <v>90</v>
      </c>
      <c r="BE54" s="52">
        <v>30</v>
      </c>
      <c r="BF54" s="47">
        <v>3</v>
      </c>
      <c r="BG54" s="52">
        <v>14</v>
      </c>
      <c r="BH54" s="52">
        <v>14</v>
      </c>
      <c r="BI54" s="52">
        <v>90</v>
      </c>
      <c r="BJ54" s="52">
        <v>90</v>
      </c>
      <c r="BK54" s="52">
        <v>90</v>
      </c>
      <c r="BL54" s="52">
        <v>90</v>
      </c>
      <c r="BM54" s="52">
        <v>90</v>
      </c>
      <c r="BN54" s="52">
        <v>90</v>
      </c>
      <c r="BO54" s="52">
        <v>90</v>
      </c>
      <c r="BP54" s="52">
        <v>30</v>
      </c>
      <c r="BQ54" s="52">
        <v>30</v>
      </c>
      <c r="BR54" s="47">
        <v>3</v>
      </c>
      <c r="BS54" s="52">
        <v>14</v>
      </c>
      <c r="BT54" s="52">
        <v>14</v>
      </c>
      <c r="BU54" s="52">
        <v>14</v>
      </c>
      <c r="BV54" s="52">
        <v>90</v>
      </c>
      <c r="BW54" s="52">
        <v>90</v>
      </c>
      <c r="BX54" s="52">
        <v>90</v>
      </c>
      <c r="BY54" s="52">
        <v>90</v>
      </c>
      <c r="BZ54" s="52">
        <v>90</v>
      </c>
      <c r="CA54" s="52">
        <v>90</v>
      </c>
      <c r="CB54" s="52">
        <v>30</v>
      </c>
      <c r="CC54" s="52">
        <v>30</v>
      </c>
      <c r="CD54" s="52">
        <v>30</v>
      </c>
    </row>
    <row r="55" spans="1:82" ht="26.4" x14ac:dyDescent="0.25">
      <c r="A55" s="120" t="s">
        <v>845</v>
      </c>
      <c r="B55" s="54"/>
      <c r="C55" s="54"/>
      <c r="D55" s="55"/>
      <c r="E55" s="52"/>
      <c r="F55" s="52"/>
      <c r="G55" s="52"/>
      <c r="H55" s="52"/>
      <c r="I55" s="52"/>
      <c r="J55" s="52"/>
      <c r="K55" s="52"/>
      <c r="L55" s="52"/>
      <c r="M55" s="52"/>
      <c r="N55" s="52"/>
      <c r="O55" s="52"/>
      <c r="P55" s="52"/>
      <c r="Q55" s="52"/>
      <c r="R55" s="52"/>
      <c r="S55" s="52"/>
      <c r="T55" s="52"/>
      <c r="U55" s="52"/>
      <c r="V55" s="52"/>
      <c r="W55" s="52"/>
      <c r="X55" s="52"/>
      <c r="Y55" s="47"/>
      <c r="Z55" s="47"/>
      <c r="AA55" s="47"/>
      <c r="AB55" s="52"/>
      <c r="AC55" s="47"/>
      <c r="AD55" s="47"/>
      <c r="AE55" s="47"/>
      <c r="AF55" s="47"/>
      <c r="AG55" s="47"/>
      <c r="AH55" s="47"/>
      <c r="AI55" s="47"/>
      <c r="AJ55" s="47"/>
      <c r="AK55" s="47"/>
      <c r="AL55" s="47"/>
      <c r="AM55" s="47"/>
      <c r="AN55" s="47"/>
      <c r="AO55" s="52"/>
      <c r="AP55" s="52"/>
      <c r="AQ55" s="52"/>
      <c r="AR55" s="47"/>
      <c r="AS55" s="47"/>
      <c r="AT55" s="47"/>
      <c r="AU55" s="47"/>
      <c r="AV55" s="47"/>
      <c r="AW55" s="52"/>
      <c r="AX55" s="52"/>
      <c r="AY55" s="52"/>
      <c r="AZ55" s="52"/>
      <c r="BA55" s="47"/>
      <c r="BB55" s="47"/>
      <c r="BC55" s="47"/>
      <c r="BD55" s="47"/>
      <c r="BE55" s="52"/>
      <c r="BF55" s="47"/>
      <c r="BG55" s="52"/>
      <c r="BH55" s="52"/>
      <c r="BI55" s="52"/>
      <c r="BJ55" s="52"/>
      <c r="BK55" s="47"/>
      <c r="BL55" s="47"/>
      <c r="BM55" s="47"/>
      <c r="BN55" s="47"/>
      <c r="BO55" s="47"/>
      <c r="BP55" s="52"/>
      <c r="BQ55" s="52"/>
      <c r="BR55" s="47"/>
      <c r="BS55" s="52"/>
      <c r="BT55" s="52"/>
      <c r="BU55" s="52"/>
      <c r="BV55" s="52"/>
      <c r="BW55" s="52"/>
      <c r="BX55" s="47"/>
      <c r="BY55" s="47"/>
      <c r="BZ55" s="47"/>
      <c r="CA55" s="47"/>
      <c r="CB55" s="52"/>
      <c r="CC55" s="52"/>
      <c r="CD55" s="52"/>
    </row>
    <row r="56" spans="1:82" x14ac:dyDescent="0.25">
      <c r="A56" s="120" t="s">
        <v>855</v>
      </c>
      <c r="B56" s="54"/>
      <c r="C56" s="54"/>
      <c r="D56" s="55"/>
      <c r="E56" s="52"/>
      <c r="F56" s="52"/>
      <c r="G56" s="52"/>
      <c r="H56" s="52"/>
      <c r="I56" s="52"/>
      <c r="J56" s="52"/>
      <c r="K56" s="52"/>
      <c r="L56" s="52"/>
      <c r="M56" s="52"/>
      <c r="N56" s="52"/>
      <c r="O56" s="52"/>
      <c r="P56" s="52"/>
      <c r="Q56" s="52"/>
      <c r="R56" s="52"/>
      <c r="S56" s="52"/>
      <c r="T56" s="52"/>
      <c r="U56" s="52"/>
      <c r="V56" s="52"/>
      <c r="W56" s="52"/>
      <c r="X56" s="52"/>
      <c r="Y56" s="47"/>
      <c r="Z56" s="47"/>
      <c r="AA56" s="47"/>
      <c r="AB56" s="52"/>
      <c r="AC56" s="47"/>
      <c r="AD56" s="47"/>
      <c r="AE56" s="47"/>
      <c r="AF56" s="47"/>
      <c r="AG56" s="47"/>
      <c r="AH56" s="47"/>
      <c r="AI56" s="47"/>
      <c r="AJ56" s="47"/>
      <c r="AK56" s="47"/>
      <c r="AL56" s="47"/>
      <c r="AM56" s="47"/>
      <c r="AN56" s="47"/>
      <c r="AO56" s="52"/>
      <c r="AP56" s="52"/>
      <c r="AQ56" s="52"/>
      <c r="AR56" s="47"/>
      <c r="AS56" s="47"/>
      <c r="AT56" s="47"/>
      <c r="AU56" s="47"/>
      <c r="AV56" s="47"/>
      <c r="AW56" s="52"/>
      <c r="AX56" s="52"/>
      <c r="AY56" s="52"/>
      <c r="AZ56" s="52"/>
      <c r="BA56" s="47"/>
      <c r="BB56" s="47"/>
      <c r="BC56" s="47"/>
      <c r="BD56" s="47"/>
      <c r="BE56" s="52"/>
      <c r="BF56" s="47"/>
      <c r="BG56" s="52"/>
      <c r="BH56" s="52"/>
      <c r="BI56" s="52"/>
      <c r="BJ56" s="52"/>
      <c r="BK56" s="47"/>
      <c r="BL56" s="47"/>
      <c r="BM56" s="47"/>
      <c r="BN56" s="47"/>
      <c r="BO56" s="47"/>
      <c r="BP56" s="52"/>
      <c r="BQ56" s="52"/>
      <c r="BR56" s="47"/>
      <c r="BS56" s="52"/>
      <c r="BT56" s="52"/>
      <c r="BU56" s="52"/>
      <c r="BV56" s="52"/>
      <c r="BW56" s="52"/>
      <c r="BX56" s="47"/>
      <c r="BY56" s="47"/>
      <c r="BZ56" s="47"/>
      <c r="CA56" s="47"/>
      <c r="CB56" s="52"/>
      <c r="CC56" s="52"/>
      <c r="CD56" s="52"/>
    </row>
    <row r="57" spans="1:82" x14ac:dyDescent="0.25">
      <c r="A57" s="120" t="s">
        <v>911</v>
      </c>
      <c r="B57" s="54"/>
      <c r="C57" s="54"/>
      <c r="D57" s="55"/>
      <c r="E57" s="52"/>
      <c r="F57" s="52"/>
      <c r="G57" s="52"/>
      <c r="H57" s="52"/>
      <c r="I57" s="52"/>
      <c r="J57" s="52"/>
      <c r="K57" s="52"/>
      <c r="L57" s="52"/>
      <c r="M57" s="52"/>
      <c r="N57" s="52"/>
      <c r="O57" s="52"/>
      <c r="P57" s="52"/>
      <c r="Q57" s="52"/>
      <c r="R57" s="52"/>
      <c r="S57" s="52"/>
      <c r="T57" s="52"/>
      <c r="U57" s="52"/>
      <c r="V57" s="52"/>
      <c r="W57" s="52"/>
      <c r="X57" s="52"/>
      <c r="Y57" s="47"/>
      <c r="Z57" s="47"/>
      <c r="AA57" s="47"/>
      <c r="AB57" s="52"/>
      <c r="AC57" s="47"/>
      <c r="AD57" s="47"/>
      <c r="AE57" s="47"/>
      <c r="AF57" s="47"/>
      <c r="AG57" s="47"/>
      <c r="AH57" s="47"/>
      <c r="AI57" s="47"/>
      <c r="AJ57" s="47"/>
      <c r="AK57" s="47"/>
      <c r="AL57" s="47"/>
      <c r="AM57" s="47"/>
      <c r="AN57" s="47"/>
      <c r="AO57" s="52"/>
      <c r="AP57" s="52"/>
      <c r="AQ57" s="52"/>
      <c r="AR57" s="47"/>
      <c r="AS57" s="47"/>
      <c r="AT57" s="47"/>
      <c r="AU57" s="47"/>
      <c r="AV57" s="47"/>
      <c r="AW57" s="52"/>
      <c r="AX57" s="52"/>
      <c r="AY57" s="52"/>
      <c r="AZ57" s="52"/>
      <c r="BA57" s="47"/>
      <c r="BB57" s="47"/>
      <c r="BC57" s="47"/>
      <c r="BD57" s="47"/>
      <c r="BE57" s="52"/>
      <c r="BF57" s="47"/>
      <c r="BG57" s="52"/>
      <c r="BH57" s="52"/>
      <c r="BI57" s="52"/>
      <c r="BJ57" s="52"/>
      <c r="BK57" s="47"/>
      <c r="BL57" s="47"/>
      <c r="BM57" s="47"/>
      <c r="BN57" s="47"/>
      <c r="BO57" s="47"/>
      <c r="BP57" s="52"/>
      <c r="BQ57" s="52"/>
      <c r="BR57" s="47"/>
      <c r="BS57" s="52"/>
      <c r="BT57" s="52"/>
      <c r="BU57" s="52"/>
      <c r="BV57" s="52"/>
      <c r="BW57" s="52"/>
      <c r="BX57" s="47"/>
      <c r="BY57" s="47"/>
      <c r="BZ57" s="47"/>
      <c r="CA57" s="47"/>
      <c r="CB57" s="52"/>
      <c r="CC57" s="52"/>
      <c r="CD57" s="52"/>
    </row>
    <row r="58" spans="1:82" x14ac:dyDescent="0.25">
      <c r="A58" s="120" t="s">
        <v>740</v>
      </c>
      <c r="B58" s="54"/>
      <c r="C58" s="54"/>
      <c r="D58" s="55"/>
      <c r="E58" s="52"/>
      <c r="F58" s="52"/>
      <c r="G58" s="52"/>
      <c r="H58" s="52"/>
      <c r="I58" s="52"/>
      <c r="J58" s="52"/>
      <c r="K58" s="52"/>
      <c r="L58" s="52"/>
      <c r="M58" s="52"/>
      <c r="N58" s="52"/>
      <c r="O58" s="52"/>
      <c r="P58" s="52"/>
      <c r="Q58" s="52"/>
      <c r="R58" s="52"/>
      <c r="S58" s="52"/>
      <c r="T58" s="52"/>
      <c r="U58" s="52"/>
      <c r="V58" s="52"/>
      <c r="W58" s="52"/>
      <c r="X58" s="52"/>
      <c r="Y58" s="47"/>
      <c r="Z58" s="47"/>
      <c r="AA58" s="47"/>
      <c r="AB58" s="52"/>
      <c r="AC58" s="47"/>
      <c r="AD58" s="47"/>
      <c r="AE58" s="47"/>
      <c r="AF58" s="47"/>
      <c r="AG58" s="47"/>
      <c r="AH58" s="47"/>
      <c r="AI58" s="47"/>
      <c r="AJ58" s="47"/>
      <c r="AK58" s="47"/>
      <c r="AL58" s="47"/>
      <c r="AM58" s="47"/>
      <c r="AN58" s="47"/>
      <c r="AO58" s="52"/>
      <c r="AP58" s="52"/>
      <c r="AQ58" s="52"/>
      <c r="AR58" s="47"/>
      <c r="AS58" s="47"/>
      <c r="AT58" s="47"/>
      <c r="AU58" s="47"/>
      <c r="AV58" s="47"/>
      <c r="AW58" s="52"/>
      <c r="AX58" s="52"/>
      <c r="AY58" s="52"/>
      <c r="AZ58" s="52"/>
      <c r="BA58" s="47"/>
      <c r="BB58" s="47"/>
      <c r="BC58" s="47"/>
      <c r="BD58" s="47"/>
      <c r="BE58" s="52"/>
      <c r="BF58" s="47"/>
      <c r="BG58" s="52"/>
      <c r="BH58" s="52"/>
      <c r="BI58" s="52"/>
      <c r="BJ58" s="52"/>
      <c r="BK58" s="47"/>
      <c r="BL58" s="47"/>
      <c r="BM58" s="47"/>
      <c r="BN58" s="47"/>
      <c r="BO58" s="47"/>
      <c r="BP58" s="52"/>
      <c r="BQ58" s="52"/>
      <c r="BR58" s="47"/>
      <c r="BS58" s="52"/>
      <c r="BT58" s="52"/>
      <c r="BU58" s="52"/>
      <c r="BV58" s="52"/>
      <c r="BW58" s="52"/>
      <c r="BX58" s="47"/>
      <c r="BY58" s="47"/>
      <c r="BZ58" s="47"/>
      <c r="CA58" s="47"/>
      <c r="CB58" s="52"/>
      <c r="CC58" s="52"/>
      <c r="CD58" s="52"/>
    </row>
    <row r="59" spans="1:82" x14ac:dyDescent="0.25">
      <c r="A59" s="120" t="s">
        <v>866</v>
      </c>
      <c r="B59" s="54"/>
      <c r="C59" s="54"/>
      <c r="D59" s="55"/>
      <c r="E59" s="52"/>
      <c r="F59" s="52"/>
      <c r="G59" s="52"/>
      <c r="H59" s="52"/>
      <c r="I59" s="52"/>
      <c r="J59" s="52"/>
      <c r="K59" s="52"/>
      <c r="L59" s="52"/>
      <c r="M59" s="52"/>
      <c r="N59" s="52"/>
      <c r="O59" s="52"/>
      <c r="P59" s="52"/>
      <c r="Q59" s="52"/>
      <c r="R59" s="52"/>
      <c r="S59" s="52"/>
      <c r="T59" s="52"/>
      <c r="U59" s="52"/>
      <c r="V59" s="52"/>
      <c r="W59" s="52"/>
      <c r="X59" s="52"/>
      <c r="Y59" s="47"/>
      <c r="Z59" s="47"/>
      <c r="AA59" s="47"/>
      <c r="AB59" s="52"/>
      <c r="AC59" s="47"/>
      <c r="AD59" s="47"/>
      <c r="AE59" s="47"/>
      <c r="AF59" s="47"/>
      <c r="AG59" s="47"/>
      <c r="AH59" s="47"/>
      <c r="AI59" s="47"/>
      <c r="AJ59" s="47"/>
      <c r="AK59" s="47"/>
      <c r="AL59" s="47"/>
      <c r="AM59" s="47"/>
      <c r="AN59" s="47"/>
      <c r="AO59" s="52"/>
      <c r="AP59" s="52"/>
      <c r="AQ59" s="52"/>
      <c r="AR59" s="47"/>
      <c r="AS59" s="47"/>
      <c r="AT59" s="47"/>
      <c r="AU59" s="47"/>
      <c r="AV59" s="47"/>
      <c r="AW59" s="52"/>
      <c r="AX59" s="52"/>
      <c r="AY59" s="52"/>
      <c r="AZ59" s="52"/>
      <c r="BA59" s="47"/>
      <c r="BB59" s="47"/>
      <c r="BC59" s="47"/>
      <c r="BD59" s="47"/>
      <c r="BE59" s="52"/>
      <c r="BF59" s="47"/>
      <c r="BG59" s="52"/>
      <c r="BH59" s="52"/>
      <c r="BI59" s="52"/>
      <c r="BJ59" s="52"/>
      <c r="BK59" s="47"/>
      <c r="BL59" s="47"/>
      <c r="BM59" s="47"/>
      <c r="BN59" s="47"/>
      <c r="BO59" s="47"/>
      <c r="BP59" s="52"/>
      <c r="BQ59" s="52"/>
      <c r="BR59" s="47"/>
      <c r="BS59" s="52"/>
      <c r="BT59" s="52"/>
      <c r="BU59" s="52"/>
      <c r="BV59" s="52"/>
      <c r="BW59" s="52"/>
      <c r="BX59" s="47"/>
      <c r="BY59" s="47"/>
      <c r="BZ59" s="47"/>
      <c r="CA59" s="47"/>
      <c r="CB59" s="52"/>
      <c r="CC59" s="52"/>
      <c r="CD59" s="52"/>
    </row>
    <row r="60" spans="1:82" ht="26.4" x14ac:dyDescent="0.25">
      <c r="A60" s="120" t="s">
        <v>867</v>
      </c>
      <c r="B60" s="54"/>
      <c r="C60" s="54"/>
      <c r="D60" s="55"/>
      <c r="E60" s="52"/>
      <c r="F60" s="52"/>
      <c r="G60" s="52"/>
      <c r="H60" s="52"/>
      <c r="I60" s="52"/>
      <c r="J60" s="52"/>
      <c r="K60" s="52"/>
      <c r="L60" s="52"/>
      <c r="M60" s="52"/>
      <c r="N60" s="52"/>
      <c r="O60" s="52"/>
      <c r="P60" s="52"/>
      <c r="Q60" s="52"/>
      <c r="R60" s="52"/>
      <c r="S60" s="52"/>
      <c r="T60" s="52"/>
      <c r="U60" s="52"/>
      <c r="V60" s="52"/>
      <c r="W60" s="52"/>
      <c r="X60" s="52"/>
      <c r="Y60" s="47"/>
      <c r="Z60" s="47"/>
      <c r="AA60" s="47"/>
      <c r="AB60" s="52"/>
      <c r="AC60" s="47"/>
      <c r="AD60" s="47"/>
      <c r="AE60" s="47"/>
      <c r="AF60" s="47"/>
      <c r="AG60" s="47"/>
      <c r="AH60" s="47"/>
      <c r="AI60" s="47"/>
      <c r="AJ60" s="47"/>
      <c r="AK60" s="47"/>
      <c r="AL60" s="47"/>
      <c r="AM60" s="47"/>
      <c r="AN60" s="47"/>
      <c r="AO60" s="52"/>
      <c r="AP60" s="52"/>
      <c r="AQ60" s="52"/>
      <c r="AR60" s="47"/>
      <c r="AS60" s="47"/>
      <c r="AT60" s="47"/>
      <c r="AU60" s="47"/>
      <c r="AV60" s="47"/>
      <c r="AW60" s="52"/>
      <c r="AX60" s="52"/>
      <c r="AY60" s="52"/>
      <c r="AZ60" s="52"/>
      <c r="BA60" s="47"/>
      <c r="BB60" s="47"/>
      <c r="BC60" s="47"/>
      <c r="BD60" s="47"/>
      <c r="BE60" s="52"/>
      <c r="BF60" s="47"/>
      <c r="BG60" s="52"/>
      <c r="BH60" s="52"/>
      <c r="BI60" s="52"/>
      <c r="BJ60" s="52"/>
      <c r="BK60" s="47"/>
      <c r="BL60" s="47"/>
      <c r="BM60" s="47"/>
      <c r="BN60" s="47"/>
      <c r="BO60" s="47"/>
      <c r="BP60" s="52"/>
      <c r="BQ60" s="52"/>
      <c r="BR60" s="47"/>
      <c r="BS60" s="52"/>
      <c r="BT60" s="52"/>
      <c r="BU60" s="52"/>
      <c r="BV60" s="52"/>
      <c r="BW60" s="52"/>
      <c r="BX60" s="47"/>
      <c r="BY60" s="47"/>
      <c r="BZ60" s="47"/>
      <c r="CA60" s="47"/>
      <c r="CB60" s="52"/>
      <c r="CC60" s="52"/>
      <c r="CD60" s="52"/>
    </row>
    <row r="61" spans="1:82" ht="26.4" x14ac:dyDescent="0.25">
      <c r="A61" s="120" t="s">
        <v>839</v>
      </c>
      <c r="B61" s="54" t="s">
        <v>720</v>
      </c>
      <c r="C61" s="54"/>
      <c r="D61" s="55"/>
      <c r="E61" s="52"/>
      <c r="F61" s="52"/>
      <c r="G61" s="52"/>
      <c r="H61" s="52"/>
      <c r="I61" s="52"/>
      <c r="J61" s="52"/>
      <c r="K61" s="52"/>
      <c r="L61" s="52"/>
      <c r="M61" s="52"/>
      <c r="N61" s="52"/>
      <c r="O61" s="52"/>
      <c r="P61" s="52"/>
      <c r="Q61" s="52"/>
      <c r="R61" s="52"/>
      <c r="S61" s="52"/>
      <c r="T61" s="52"/>
      <c r="U61" s="52"/>
      <c r="V61" s="52"/>
      <c r="W61" s="52"/>
      <c r="X61" s="52"/>
      <c r="Y61" s="47"/>
      <c r="Z61" s="47"/>
      <c r="AA61" s="47"/>
      <c r="AB61" s="52"/>
      <c r="AC61" s="47"/>
      <c r="AD61" s="47"/>
      <c r="AE61" s="47"/>
      <c r="AF61" s="47"/>
      <c r="AG61" s="47"/>
      <c r="AH61" s="47"/>
      <c r="AI61" s="47"/>
      <c r="AJ61" s="47"/>
      <c r="AK61" s="47"/>
      <c r="AL61" s="47"/>
      <c r="AM61" s="47"/>
      <c r="AN61" s="47"/>
      <c r="AO61" s="52"/>
      <c r="AP61" s="52"/>
      <c r="AQ61" s="52"/>
      <c r="AR61" s="47"/>
      <c r="AS61" s="47"/>
      <c r="AT61" s="47"/>
      <c r="AU61" s="47"/>
      <c r="AV61" s="47"/>
      <c r="AW61" s="52"/>
      <c r="AX61" s="52"/>
      <c r="AY61" s="52"/>
      <c r="AZ61" s="52"/>
      <c r="BA61" s="47"/>
      <c r="BB61" s="47"/>
      <c r="BC61" s="47"/>
      <c r="BD61" s="47"/>
      <c r="BE61" s="52"/>
      <c r="BF61" s="47"/>
      <c r="BG61" s="52"/>
      <c r="BH61" s="52"/>
      <c r="BI61" s="52"/>
      <c r="BJ61" s="52"/>
      <c r="BK61" s="47"/>
      <c r="BL61" s="47"/>
      <c r="BM61" s="47"/>
      <c r="BN61" s="47"/>
      <c r="BO61" s="47"/>
      <c r="BP61" s="52"/>
      <c r="BQ61" s="52"/>
      <c r="BR61" s="47"/>
      <c r="BS61" s="52"/>
      <c r="BT61" s="52"/>
      <c r="BU61" s="52"/>
      <c r="BV61" s="52"/>
      <c r="BW61" s="52"/>
      <c r="BX61" s="47"/>
      <c r="BY61" s="47"/>
      <c r="BZ61" s="47"/>
      <c r="CA61" s="47"/>
      <c r="CB61" s="52"/>
      <c r="CC61" s="52"/>
      <c r="CD61" s="52"/>
    </row>
    <row r="62" spans="1:82" x14ac:dyDescent="0.25">
      <c r="A62" s="120" t="s">
        <v>644</v>
      </c>
      <c r="B62" s="54"/>
      <c r="C62" s="54"/>
      <c r="D62" s="55"/>
      <c r="E62" s="52"/>
      <c r="F62" s="52"/>
      <c r="G62" s="52"/>
      <c r="H62" s="52"/>
      <c r="I62" s="52"/>
      <c r="J62" s="52"/>
      <c r="K62" s="52"/>
      <c r="L62" s="52"/>
      <c r="M62" s="52"/>
      <c r="N62" s="52"/>
      <c r="O62" s="52"/>
      <c r="P62" s="52"/>
      <c r="Q62" s="52"/>
      <c r="R62" s="52"/>
      <c r="S62" s="52"/>
      <c r="T62" s="52"/>
      <c r="U62" s="52"/>
      <c r="V62" s="52"/>
      <c r="W62" s="52"/>
      <c r="X62" s="52"/>
      <c r="Y62" s="47"/>
      <c r="Z62" s="47"/>
      <c r="AA62" s="47"/>
      <c r="AB62" s="52"/>
      <c r="AC62" s="47"/>
      <c r="AD62" s="47"/>
      <c r="AE62" s="47"/>
      <c r="AF62" s="47"/>
      <c r="AG62" s="47"/>
      <c r="AH62" s="47"/>
      <c r="AI62" s="47"/>
      <c r="AJ62" s="47"/>
      <c r="AK62" s="47"/>
      <c r="AL62" s="47"/>
      <c r="AM62" s="47"/>
      <c r="AN62" s="47"/>
      <c r="AO62" s="52"/>
      <c r="AP62" s="52"/>
      <c r="AQ62" s="52"/>
      <c r="AR62" s="47"/>
      <c r="AS62" s="47"/>
      <c r="AT62" s="47"/>
      <c r="AU62" s="47"/>
      <c r="AV62" s="47"/>
      <c r="AW62" s="52"/>
      <c r="AX62" s="52"/>
      <c r="AY62" s="52"/>
      <c r="AZ62" s="52"/>
      <c r="BA62" s="47"/>
      <c r="BB62" s="47"/>
      <c r="BC62" s="47"/>
      <c r="BD62" s="47"/>
      <c r="BE62" s="52"/>
      <c r="BF62" s="47"/>
      <c r="BG62" s="52"/>
      <c r="BH62" s="52"/>
      <c r="BI62" s="52"/>
      <c r="BJ62" s="52"/>
      <c r="BK62" s="47"/>
      <c r="BL62" s="47"/>
      <c r="BM62" s="47"/>
      <c r="BN62" s="47"/>
      <c r="BO62" s="47"/>
      <c r="BP62" s="52"/>
      <c r="BQ62" s="52"/>
      <c r="BR62" s="47"/>
      <c r="BS62" s="52"/>
      <c r="BT62" s="52"/>
      <c r="BU62" s="52"/>
      <c r="BV62" s="52"/>
      <c r="BW62" s="52"/>
      <c r="BX62" s="47"/>
      <c r="BY62" s="47"/>
      <c r="BZ62" s="47"/>
      <c r="CA62" s="47"/>
      <c r="CB62" s="52"/>
      <c r="CC62" s="52"/>
      <c r="CD62" s="52"/>
    </row>
    <row r="63" spans="1:82" x14ac:dyDescent="0.25">
      <c r="A63" s="120" t="s">
        <v>832</v>
      </c>
      <c r="B63" s="54"/>
      <c r="C63" s="54"/>
      <c r="D63" s="55"/>
      <c r="E63" s="52"/>
      <c r="F63" s="52"/>
      <c r="G63" s="52"/>
      <c r="H63" s="52"/>
      <c r="I63" s="52"/>
      <c r="J63" s="52"/>
      <c r="K63" s="52"/>
      <c r="L63" s="52"/>
      <c r="M63" s="52"/>
      <c r="N63" s="52"/>
      <c r="O63" s="52"/>
      <c r="P63" s="52"/>
      <c r="Q63" s="52"/>
      <c r="R63" s="52"/>
      <c r="S63" s="52"/>
      <c r="T63" s="52"/>
      <c r="U63" s="52"/>
      <c r="V63" s="52"/>
      <c r="W63" s="52"/>
      <c r="X63" s="52"/>
      <c r="Y63" s="47"/>
      <c r="Z63" s="47"/>
      <c r="AA63" s="47"/>
      <c r="AB63" s="52"/>
      <c r="AC63" s="47"/>
      <c r="AD63" s="47"/>
      <c r="AE63" s="47"/>
      <c r="AF63" s="47"/>
      <c r="AG63" s="47"/>
      <c r="AH63" s="47"/>
      <c r="AI63" s="47"/>
      <c r="AJ63" s="47"/>
      <c r="AK63" s="47"/>
      <c r="AL63" s="47"/>
      <c r="AM63" s="47"/>
      <c r="AN63" s="47"/>
      <c r="AO63" s="52"/>
      <c r="AP63" s="52"/>
      <c r="AQ63" s="52"/>
      <c r="AR63" s="47"/>
      <c r="AS63" s="47"/>
      <c r="AT63" s="47"/>
      <c r="AU63" s="47"/>
      <c r="AV63" s="47"/>
      <c r="AW63" s="52"/>
      <c r="AX63" s="52"/>
      <c r="AY63" s="52"/>
      <c r="AZ63" s="52"/>
      <c r="BA63" s="47"/>
      <c r="BB63" s="47"/>
      <c r="BC63" s="47"/>
      <c r="BD63" s="47"/>
      <c r="BE63" s="52"/>
      <c r="BF63" s="47"/>
      <c r="BG63" s="52"/>
      <c r="BH63" s="52"/>
      <c r="BI63" s="52"/>
      <c r="BJ63" s="52"/>
      <c r="BK63" s="47"/>
      <c r="BL63" s="47"/>
      <c r="BM63" s="47"/>
      <c r="BN63" s="47"/>
      <c r="BO63" s="47"/>
      <c r="BP63" s="52"/>
      <c r="BQ63" s="52"/>
      <c r="BR63" s="47"/>
      <c r="BS63" s="52"/>
      <c r="BT63" s="52"/>
      <c r="BU63" s="52"/>
      <c r="BV63" s="52"/>
      <c r="BW63" s="52"/>
      <c r="BX63" s="47"/>
      <c r="BY63" s="47"/>
      <c r="BZ63" s="47"/>
      <c r="CA63" s="47"/>
      <c r="CB63" s="52"/>
      <c r="CC63" s="52"/>
      <c r="CD63" s="52"/>
    </row>
    <row r="64" spans="1:82" x14ac:dyDescent="0.25">
      <c r="A64" s="120" t="s">
        <v>213</v>
      </c>
      <c r="B64" s="54" t="s">
        <v>718</v>
      </c>
      <c r="C64" s="54" t="s">
        <v>121</v>
      </c>
      <c r="D64" s="55">
        <f>MIN(E64:BC64)</f>
        <v>0.16</v>
      </c>
      <c r="E64" s="52">
        <v>30</v>
      </c>
      <c r="F64" s="52">
        <v>0.25</v>
      </c>
      <c r="G64" s="52">
        <v>1</v>
      </c>
      <c r="H64" s="52">
        <v>1</v>
      </c>
      <c r="I64" s="52">
        <v>1</v>
      </c>
      <c r="J64" s="52"/>
      <c r="K64" s="52">
        <v>1</v>
      </c>
      <c r="L64" s="52">
        <v>1</v>
      </c>
      <c r="M64" s="52">
        <v>1</v>
      </c>
      <c r="N64" s="52">
        <v>1</v>
      </c>
      <c r="O64" s="52">
        <v>30</v>
      </c>
      <c r="P64" s="52">
        <v>30</v>
      </c>
      <c r="Q64" s="52">
        <v>30</v>
      </c>
      <c r="R64" s="52"/>
      <c r="S64" s="52"/>
      <c r="T64" s="52">
        <v>3</v>
      </c>
      <c r="U64" s="52">
        <v>3</v>
      </c>
      <c r="V64" s="52">
        <v>30</v>
      </c>
      <c r="W64" s="52">
        <v>0.25</v>
      </c>
      <c r="X64" s="52">
        <v>1</v>
      </c>
      <c r="Y64" s="52">
        <v>3</v>
      </c>
      <c r="Z64" s="47">
        <v>30</v>
      </c>
      <c r="AA64" s="47">
        <v>30</v>
      </c>
      <c r="AB64" s="52">
        <v>1</v>
      </c>
      <c r="AC64" s="47"/>
      <c r="AD64" s="47">
        <v>0.16</v>
      </c>
      <c r="AE64" s="47">
        <v>0.16</v>
      </c>
      <c r="AF64" s="47">
        <v>30</v>
      </c>
      <c r="AG64" s="47">
        <v>30</v>
      </c>
      <c r="AH64" s="47"/>
      <c r="AI64" s="47">
        <v>1</v>
      </c>
      <c r="AJ64" s="47">
        <v>5</v>
      </c>
      <c r="AK64" s="47">
        <v>10</v>
      </c>
      <c r="AL64" s="47">
        <v>3</v>
      </c>
      <c r="AM64" s="47">
        <v>10</v>
      </c>
      <c r="AN64" s="47">
        <v>3</v>
      </c>
      <c r="AO64" s="52"/>
      <c r="AP64" s="52">
        <v>10</v>
      </c>
      <c r="AQ64" s="52">
        <v>30</v>
      </c>
      <c r="AR64" s="52">
        <v>30</v>
      </c>
      <c r="AS64" s="52">
        <v>30</v>
      </c>
      <c r="AT64" s="52">
        <v>30</v>
      </c>
      <c r="AU64" s="47">
        <v>2</v>
      </c>
      <c r="AV64" s="47">
        <v>3</v>
      </c>
      <c r="AW64" s="52">
        <v>14</v>
      </c>
      <c r="AX64" s="52">
        <v>14</v>
      </c>
      <c r="AY64" s="52">
        <v>90</v>
      </c>
      <c r="AZ64" s="52">
        <v>90</v>
      </c>
      <c r="BA64" s="52">
        <v>90</v>
      </c>
      <c r="BB64" s="52">
        <v>90</v>
      </c>
      <c r="BC64" s="52">
        <v>90</v>
      </c>
      <c r="BD64" s="52">
        <v>90</v>
      </c>
      <c r="BE64" s="52">
        <v>30</v>
      </c>
      <c r="BF64" s="47">
        <v>3</v>
      </c>
      <c r="BG64" s="52">
        <v>14</v>
      </c>
      <c r="BH64" s="52">
        <v>14</v>
      </c>
      <c r="BI64" s="52">
        <v>90</v>
      </c>
      <c r="BJ64" s="52">
        <v>90</v>
      </c>
      <c r="BK64" s="52">
        <v>90</v>
      </c>
      <c r="BL64" s="52">
        <v>90</v>
      </c>
      <c r="BM64" s="52">
        <v>90</v>
      </c>
      <c r="BN64" s="52">
        <v>90</v>
      </c>
      <c r="BO64" s="52">
        <v>90</v>
      </c>
      <c r="BP64" s="52">
        <v>30</v>
      </c>
      <c r="BQ64" s="52">
        <v>30</v>
      </c>
      <c r="BR64" s="47">
        <v>3</v>
      </c>
      <c r="BS64" s="52">
        <v>14</v>
      </c>
      <c r="BT64" s="52">
        <v>14</v>
      </c>
      <c r="BU64" s="52">
        <v>14</v>
      </c>
      <c r="BV64" s="52">
        <v>90</v>
      </c>
      <c r="BW64" s="52">
        <v>90</v>
      </c>
      <c r="BX64" s="52">
        <v>90</v>
      </c>
      <c r="BY64" s="52">
        <v>90</v>
      </c>
      <c r="BZ64" s="52">
        <v>90</v>
      </c>
      <c r="CA64" s="52">
        <v>90</v>
      </c>
      <c r="CB64" s="52">
        <v>30</v>
      </c>
      <c r="CC64" s="52">
        <v>30</v>
      </c>
      <c r="CD64" s="52">
        <v>30</v>
      </c>
    </row>
    <row r="65" spans="1:82" ht="26.4" x14ac:dyDescent="0.25">
      <c r="A65" s="120" t="s">
        <v>821</v>
      </c>
      <c r="B65" s="54" t="s">
        <v>719</v>
      </c>
      <c r="C65" s="54" t="s">
        <v>121</v>
      </c>
      <c r="D65" s="55">
        <f>MIN(E65:BC65)</f>
        <v>0.16</v>
      </c>
      <c r="E65" s="52">
        <v>30</v>
      </c>
      <c r="F65" s="52">
        <v>0.25</v>
      </c>
      <c r="G65" s="52">
        <v>1</v>
      </c>
      <c r="H65" s="52">
        <v>1</v>
      </c>
      <c r="I65" s="52">
        <v>1</v>
      </c>
      <c r="J65" s="52"/>
      <c r="K65" s="52">
        <v>1</v>
      </c>
      <c r="L65" s="52">
        <v>1</v>
      </c>
      <c r="M65" s="52">
        <v>1</v>
      </c>
      <c r="N65" s="52">
        <v>1</v>
      </c>
      <c r="O65" s="52"/>
      <c r="P65" s="52"/>
      <c r="Q65" s="52"/>
      <c r="R65" s="52"/>
      <c r="S65" s="52"/>
      <c r="T65" s="52">
        <v>3</v>
      </c>
      <c r="U65" s="52">
        <v>3</v>
      </c>
      <c r="V65" s="52">
        <v>30</v>
      </c>
      <c r="W65" s="52">
        <v>0.25</v>
      </c>
      <c r="X65" s="52">
        <v>1</v>
      </c>
      <c r="Y65" s="52">
        <v>3</v>
      </c>
      <c r="Z65" s="47"/>
      <c r="AA65" s="47">
        <v>30</v>
      </c>
      <c r="AB65" s="52"/>
      <c r="AC65" s="47">
        <v>1</v>
      </c>
      <c r="AD65" s="47">
        <v>0.16</v>
      </c>
      <c r="AE65" s="47">
        <v>0.16</v>
      </c>
      <c r="AF65" s="47">
        <v>30</v>
      </c>
      <c r="AG65" s="47">
        <v>30</v>
      </c>
      <c r="AH65" s="47">
        <v>30</v>
      </c>
      <c r="AI65" s="47">
        <v>1</v>
      </c>
      <c r="AJ65" s="47">
        <v>5</v>
      </c>
      <c r="AK65" s="47">
        <v>10</v>
      </c>
      <c r="AL65" s="47">
        <v>3</v>
      </c>
      <c r="AM65" s="47">
        <v>10</v>
      </c>
      <c r="AN65" s="47">
        <v>3</v>
      </c>
      <c r="AO65" s="52"/>
      <c r="AP65" s="52">
        <v>10</v>
      </c>
      <c r="AQ65" s="52"/>
      <c r="AR65" s="52">
        <v>30</v>
      </c>
      <c r="AS65" s="52">
        <v>30</v>
      </c>
      <c r="AT65" s="47"/>
      <c r="AU65" s="47">
        <v>2</v>
      </c>
      <c r="AV65" s="47">
        <v>3</v>
      </c>
      <c r="AW65" s="52">
        <v>14</v>
      </c>
      <c r="AX65" s="52"/>
      <c r="AY65" s="52">
        <v>90</v>
      </c>
      <c r="AZ65" s="52"/>
      <c r="BA65" s="52">
        <v>90</v>
      </c>
      <c r="BB65" s="52">
        <v>90</v>
      </c>
      <c r="BC65" s="52">
        <v>90</v>
      </c>
      <c r="BD65" s="52">
        <v>90</v>
      </c>
      <c r="BE65" s="52"/>
      <c r="BF65" s="47">
        <v>3</v>
      </c>
      <c r="BG65" s="52">
        <v>14</v>
      </c>
      <c r="BH65" s="52"/>
      <c r="BI65" s="52">
        <v>90</v>
      </c>
      <c r="BJ65" s="52"/>
      <c r="BK65" s="52">
        <v>90</v>
      </c>
      <c r="BL65" s="52">
        <v>90</v>
      </c>
      <c r="BM65" s="52">
        <v>90</v>
      </c>
      <c r="BN65" s="52">
        <v>90</v>
      </c>
      <c r="BO65" s="52">
        <v>90</v>
      </c>
      <c r="BP65" s="52"/>
      <c r="BQ65" s="52"/>
      <c r="BR65" s="47">
        <v>3</v>
      </c>
      <c r="BS65" s="52">
        <v>14</v>
      </c>
      <c r="BT65" s="52"/>
      <c r="BU65" s="52"/>
      <c r="BV65" s="52">
        <v>90</v>
      </c>
      <c r="BW65" s="52"/>
      <c r="BX65" s="52">
        <v>90</v>
      </c>
      <c r="BY65" s="52">
        <v>90</v>
      </c>
      <c r="BZ65" s="52">
        <v>90</v>
      </c>
      <c r="CA65" s="52">
        <v>90</v>
      </c>
      <c r="CB65" s="52"/>
      <c r="CC65" s="52"/>
      <c r="CD65" s="52"/>
    </row>
    <row r="66" spans="1:82" x14ac:dyDescent="0.25">
      <c r="A66" s="120" t="s">
        <v>728</v>
      </c>
      <c r="B66" s="54"/>
      <c r="C66" s="54"/>
      <c r="D66" s="55"/>
      <c r="E66" s="52"/>
      <c r="F66" s="52"/>
      <c r="G66" s="52"/>
      <c r="H66" s="52"/>
      <c r="I66" s="52"/>
      <c r="J66" s="52"/>
      <c r="K66" s="52"/>
      <c r="L66" s="52"/>
      <c r="M66" s="52"/>
      <c r="N66" s="52"/>
      <c r="O66" s="52"/>
      <c r="P66" s="52"/>
      <c r="Q66" s="52"/>
      <c r="R66" s="52"/>
      <c r="S66" s="52"/>
      <c r="T66" s="52"/>
      <c r="U66" s="52"/>
      <c r="V66" s="52"/>
      <c r="W66" s="52"/>
      <c r="X66" s="52"/>
      <c r="Y66" s="52"/>
      <c r="Z66" s="47"/>
      <c r="AA66" s="47"/>
      <c r="AB66" s="52"/>
      <c r="AC66" s="47"/>
      <c r="AD66" s="47"/>
      <c r="AE66" s="47"/>
      <c r="AF66" s="47"/>
      <c r="AG66" s="47"/>
      <c r="AH66" s="47"/>
      <c r="AI66" s="47"/>
      <c r="AJ66" s="47"/>
      <c r="AK66" s="47"/>
      <c r="AL66" s="47"/>
      <c r="AM66" s="47"/>
      <c r="AN66" s="47"/>
      <c r="AO66" s="52"/>
      <c r="AP66" s="52"/>
      <c r="AQ66" s="52"/>
      <c r="AR66" s="47"/>
      <c r="AS66" s="47"/>
      <c r="AT66" s="47"/>
      <c r="AU66" s="47"/>
      <c r="AV66" s="47"/>
      <c r="AW66" s="52"/>
      <c r="AX66" s="52"/>
      <c r="AY66" s="52"/>
      <c r="AZ66" s="52"/>
      <c r="BA66" s="47"/>
      <c r="BB66" s="47"/>
      <c r="BC66" s="47"/>
      <c r="BD66" s="47"/>
      <c r="BE66" s="52"/>
      <c r="BF66" s="47"/>
      <c r="BG66" s="52"/>
      <c r="BH66" s="52"/>
      <c r="BI66" s="52"/>
      <c r="BJ66" s="52"/>
      <c r="BK66" s="47"/>
      <c r="BL66" s="47"/>
      <c r="BM66" s="47"/>
      <c r="BN66" s="47"/>
      <c r="BO66" s="47"/>
      <c r="BP66" s="52"/>
      <c r="BQ66" s="52"/>
      <c r="BR66" s="47"/>
      <c r="BS66" s="52"/>
      <c r="BT66" s="52"/>
      <c r="BU66" s="52"/>
      <c r="BV66" s="52"/>
      <c r="BW66" s="52"/>
      <c r="BX66" s="47"/>
      <c r="BY66" s="47"/>
      <c r="BZ66" s="47"/>
      <c r="CA66" s="47"/>
      <c r="CB66" s="52"/>
      <c r="CC66" s="52"/>
      <c r="CD66" s="52"/>
    </row>
    <row r="67" spans="1:82" x14ac:dyDescent="0.25">
      <c r="A67" s="120" t="s">
        <v>799</v>
      </c>
      <c r="B67" s="54"/>
      <c r="C67" s="54"/>
      <c r="D67" s="55"/>
      <c r="E67" s="52"/>
      <c r="F67" s="52"/>
      <c r="G67" s="52"/>
      <c r="H67" s="52"/>
      <c r="I67" s="52"/>
      <c r="J67" s="52"/>
      <c r="K67" s="52"/>
      <c r="L67" s="52"/>
      <c r="M67" s="52"/>
      <c r="N67" s="52"/>
      <c r="O67" s="52"/>
      <c r="P67" s="52"/>
      <c r="Q67" s="52"/>
      <c r="R67" s="52"/>
      <c r="S67" s="52"/>
      <c r="T67" s="52"/>
      <c r="U67" s="52"/>
      <c r="V67" s="52"/>
      <c r="W67" s="52"/>
      <c r="X67" s="52"/>
      <c r="Y67" s="47"/>
      <c r="Z67" s="47"/>
      <c r="AA67" s="47"/>
      <c r="AB67" s="52"/>
      <c r="AC67" s="47"/>
      <c r="AD67" s="47"/>
      <c r="AE67" s="47"/>
      <c r="AF67" s="47"/>
      <c r="AG67" s="47"/>
      <c r="AH67" s="47"/>
      <c r="AI67" s="47"/>
      <c r="AJ67" s="47"/>
      <c r="AK67" s="47"/>
      <c r="AL67" s="47"/>
      <c r="AM67" s="47"/>
      <c r="AN67" s="47"/>
      <c r="AO67" s="52"/>
      <c r="AP67" s="52"/>
      <c r="AQ67" s="52"/>
      <c r="AR67" s="47"/>
      <c r="AS67" s="47"/>
      <c r="AT67" s="47"/>
      <c r="AU67" s="47"/>
      <c r="AV67" s="47"/>
      <c r="AW67" s="52"/>
      <c r="AX67" s="52"/>
      <c r="AY67" s="52"/>
      <c r="AZ67" s="52"/>
      <c r="BA67" s="52"/>
      <c r="BB67" s="52"/>
      <c r="BC67" s="52"/>
      <c r="BD67" s="52"/>
      <c r="BE67" s="52"/>
      <c r="BF67" s="47"/>
      <c r="BG67" s="52"/>
      <c r="BH67" s="52"/>
      <c r="BI67" s="52"/>
      <c r="BJ67" s="52"/>
      <c r="BK67" s="52"/>
      <c r="BL67" s="52"/>
      <c r="BM67" s="52"/>
      <c r="BN67" s="52"/>
      <c r="BO67" s="52"/>
      <c r="BP67" s="52"/>
      <c r="BQ67" s="52"/>
      <c r="BR67" s="47"/>
      <c r="BS67" s="52"/>
      <c r="BT67" s="52"/>
      <c r="BU67" s="52"/>
      <c r="BV67" s="52"/>
      <c r="BW67" s="52"/>
      <c r="BX67" s="52"/>
      <c r="BY67" s="52"/>
      <c r="BZ67" s="52"/>
      <c r="CA67" s="52"/>
      <c r="CB67" s="52"/>
      <c r="CC67" s="52"/>
      <c r="CD67" s="52"/>
    </row>
    <row r="68" spans="1:82" x14ac:dyDescent="0.25">
      <c r="A68" s="120" t="s">
        <v>869</v>
      </c>
      <c r="B68" s="54"/>
      <c r="C68" s="54"/>
      <c r="D68" s="55"/>
      <c r="E68" s="52"/>
      <c r="F68" s="52"/>
      <c r="G68" s="52"/>
      <c r="H68" s="52"/>
      <c r="I68" s="52"/>
      <c r="J68" s="52"/>
      <c r="K68" s="52"/>
      <c r="L68" s="52"/>
      <c r="M68" s="52"/>
      <c r="N68" s="52"/>
      <c r="O68" s="52"/>
      <c r="P68" s="52"/>
      <c r="Q68" s="52"/>
      <c r="R68" s="52"/>
      <c r="S68" s="52"/>
      <c r="T68" s="52"/>
      <c r="U68" s="52"/>
      <c r="V68" s="52"/>
      <c r="W68" s="52"/>
      <c r="X68" s="52"/>
      <c r="Y68" s="47"/>
      <c r="Z68" s="47"/>
      <c r="AA68" s="47"/>
      <c r="AB68" s="52"/>
      <c r="AC68" s="47"/>
      <c r="AD68" s="47"/>
      <c r="AE68" s="47"/>
      <c r="AF68" s="47"/>
      <c r="AG68" s="47"/>
      <c r="AH68" s="47"/>
      <c r="AI68" s="47"/>
      <c r="AJ68" s="47"/>
      <c r="AK68" s="47"/>
      <c r="AL68" s="47"/>
      <c r="AM68" s="47"/>
      <c r="AN68" s="47"/>
      <c r="AO68" s="52"/>
      <c r="AP68" s="52"/>
      <c r="AQ68" s="52"/>
      <c r="AR68" s="47"/>
      <c r="AS68" s="47"/>
      <c r="AT68" s="47"/>
      <c r="AU68" s="47"/>
      <c r="AV68" s="47"/>
      <c r="AW68" s="52"/>
      <c r="AX68" s="52"/>
      <c r="AY68" s="52"/>
      <c r="AZ68" s="52"/>
      <c r="BA68" s="47"/>
      <c r="BB68" s="47"/>
      <c r="BC68" s="47"/>
      <c r="BD68" s="47"/>
      <c r="BE68" s="52"/>
      <c r="BF68" s="47"/>
      <c r="BG68" s="52"/>
      <c r="BH68" s="52"/>
      <c r="BI68" s="52"/>
      <c r="BJ68" s="52"/>
      <c r="BK68" s="47"/>
      <c r="BL68" s="47"/>
      <c r="BM68" s="47"/>
      <c r="BN68" s="47"/>
      <c r="BO68" s="47"/>
      <c r="BP68" s="52"/>
      <c r="BQ68" s="52"/>
      <c r="BR68" s="47"/>
      <c r="BS68" s="52"/>
      <c r="BT68" s="52"/>
      <c r="BU68" s="52"/>
      <c r="BV68" s="52"/>
      <c r="BW68" s="52"/>
      <c r="BX68" s="47"/>
      <c r="BY68" s="47"/>
      <c r="BZ68" s="47"/>
      <c r="CA68" s="47"/>
      <c r="CB68" s="52"/>
      <c r="CC68" s="52"/>
      <c r="CD68" s="52"/>
    </row>
    <row r="69" spans="1:82" ht="26.4" x14ac:dyDescent="0.25">
      <c r="A69" s="120" t="s">
        <v>834</v>
      </c>
      <c r="B69" s="54" t="s">
        <v>720</v>
      </c>
      <c r="C69" s="54"/>
      <c r="D69" s="55"/>
      <c r="E69" s="52"/>
      <c r="F69" s="52"/>
      <c r="G69" s="52"/>
      <c r="H69" s="52"/>
      <c r="I69" s="52"/>
      <c r="J69" s="52"/>
      <c r="K69" s="52"/>
      <c r="L69" s="52"/>
      <c r="M69" s="52"/>
      <c r="N69" s="52"/>
      <c r="O69" s="52"/>
      <c r="P69" s="52"/>
      <c r="Q69" s="52"/>
      <c r="R69" s="52"/>
      <c r="S69" s="52"/>
      <c r="T69" s="52"/>
      <c r="U69" s="52"/>
      <c r="V69" s="52"/>
      <c r="W69" s="52"/>
      <c r="X69" s="52"/>
      <c r="Y69" s="47"/>
      <c r="Z69" s="47"/>
      <c r="AA69" s="47"/>
      <c r="AB69" s="52"/>
      <c r="AC69" s="47"/>
      <c r="AD69" s="47"/>
      <c r="AE69" s="47"/>
      <c r="AF69" s="47"/>
      <c r="AG69" s="47"/>
      <c r="AH69" s="47"/>
      <c r="AI69" s="47"/>
      <c r="AJ69" s="47"/>
      <c r="AK69" s="47"/>
      <c r="AL69" s="47"/>
      <c r="AM69" s="47"/>
      <c r="AN69" s="47"/>
      <c r="AO69" s="52"/>
      <c r="AP69" s="52"/>
      <c r="AQ69" s="52"/>
      <c r="AR69" s="47"/>
      <c r="AS69" s="47"/>
      <c r="AT69" s="47"/>
      <c r="AU69" s="47"/>
      <c r="AV69" s="47"/>
      <c r="AW69" s="52"/>
      <c r="AX69" s="52"/>
      <c r="AY69" s="52"/>
      <c r="AZ69" s="52"/>
      <c r="BA69" s="47"/>
      <c r="BB69" s="47"/>
      <c r="BC69" s="47"/>
      <c r="BD69" s="47"/>
      <c r="BE69" s="52"/>
      <c r="BF69" s="47"/>
      <c r="BG69" s="52"/>
      <c r="BH69" s="52"/>
      <c r="BI69" s="52"/>
      <c r="BJ69" s="52"/>
      <c r="BK69" s="47"/>
      <c r="BL69" s="47"/>
      <c r="BM69" s="47"/>
      <c r="BN69" s="47"/>
      <c r="BO69" s="47"/>
      <c r="BP69" s="52"/>
      <c r="BQ69" s="52"/>
      <c r="BR69" s="47"/>
      <c r="BS69" s="52"/>
      <c r="BT69" s="52"/>
      <c r="BU69" s="52"/>
      <c r="BV69" s="52"/>
      <c r="BW69" s="52"/>
      <c r="BX69" s="47"/>
      <c r="BY69" s="47"/>
      <c r="BZ69" s="47"/>
      <c r="CA69" s="47"/>
      <c r="CB69" s="52"/>
      <c r="CC69" s="52"/>
      <c r="CD69" s="52"/>
    </row>
    <row r="70" spans="1:82" x14ac:dyDescent="0.25">
      <c r="A70" s="120" t="s">
        <v>211</v>
      </c>
      <c r="B70" s="54"/>
      <c r="C70" s="54" t="s">
        <v>121</v>
      </c>
      <c r="D70" s="55">
        <f>MIN(E70:BC70)</f>
        <v>0.16</v>
      </c>
      <c r="E70" s="52">
        <v>30</v>
      </c>
      <c r="F70" s="52">
        <v>0.25</v>
      </c>
      <c r="G70" s="52">
        <v>1</v>
      </c>
      <c r="H70" s="52">
        <v>1</v>
      </c>
      <c r="I70" s="52">
        <v>1</v>
      </c>
      <c r="J70" s="52"/>
      <c r="K70" s="52">
        <v>1</v>
      </c>
      <c r="L70" s="52">
        <v>1</v>
      </c>
      <c r="M70" s="52">
        <v>1</v>
      </c>
      <c r="N70" s="52">
        <v>1</v>
      </c>
      <c r="O70" s="52">
        <v>30</v>
      </c>
      <c r="P70" s="52">
        <v>30</v>
      </c>
      <c r="Q70" s="52">
        <v>30</v>
      </c>
      <c r="R70" s="52">
        <v>30</v>
      </c>
      <c r="S70" s="52">
        <v>30</v>
      </c>
      <c r="T70" s="52">
        <v>3</v>
      </c>
      <c r="U70" s="52">
        <v>3</v>
      </c>
      <c r="V70" s="52">
        <v>30</v>
      </c>
      <c r="W70" s="52">
        <v>0.25</v>
      </c>
      <c r="X70" s="52">
        <v>1</v>
      </c>
      <c r="Y70" s="52">
        <v>3</v>
      </c>
      <c r="Z70" s="47"/>
      <c r="AA70" s="47">
        <v>30</v>
      </c>
      <c r="AB70" s="52"/>
      <c r="AC70" s="47"/>
      <c r="AD70" s="47"/>
      <c r="AE70" s="47">
        <v>0.16</v>
      </c>
      <c r="AF70" s="47">
        <v>30</v>
      </c>
      <c r="AG70" s="47">
        <v>30</v>
      </c>
      <c r="AH70" s="47">
        <v>30</v>
      </c>
      <c r="AI70" s="47">
        <v>1</v>
      </c>
      <c r="AJ70" s="47">
        <v>5</v>
      </c>
      <c r="AK70" s="47">
        <v>10</v>
      </c>
      <c r="AL70" s="47">
        <v>3</v>
      </c>
      <c r="AM70" s="47">
        <v>10</v>
      </c>
      <c r="AN70" s="47">
        <v>3</v>
      </c>
      <c r="AO70" s="52">
        <v>30</v>
      </c>
      <c r="AP70" s="52">
        <v>10</v>
      </c>
      <c r="AQ70" s="52">
        <v>30</v>
      </c>
      <c r="AR70" s="52">
        <v>30</v>
      </c>
      <c r="AS70" s="52">
        <v>30</v>
      </c>
      <c r="AT70" s="52">
        <v>30</v>
      </c>
      <c r="AU70" s="47">
        <v>2</v>
      </c>
      <c r="AV70" s="47"/>
      <c r="AW70" s="52">
        <v>14</v>
      </c>
      <c r="AX70" s="52">
        <v>14</v>
      </c>
      <c r="AY70" s="52">
        <v>90</v>
      </c>
      <c r="AZ70" s="52">
        <v>90</v>
      </c>
      <c r="BA70" s="52">
        <v>90</v>
      </c>
      <c r="BB70" s="52">
        <v>90</v>
      </c>
      <c r="BC70" s="52">
        <v>90</v>
      </c>
      <c r="BD70" s="52">
        <v>90</v>
      </c>
      <c r="BE70" s="52">
        <v>30</v>
      </c>
      <c r="BF70" s="47"/>
      <c r="BG70" s="52">
        <v>14</v>
      </c>
      <c r="BH70" s="52">
        <v>14</v>
      </c>
      <c r="BI70" s="52">
        <v>90</v>
      </c>
      <c r="BJ70" s="52">
        <v>90</v>
      </c>
      <c r="BK70" s="52">
        <v>90</v>
      </c>
      <c r="BL70" s="52">
        <v>90</v>
      </c>
      <c r="BM70" s="52">
        <v>90</v>
      </c>
      <c r="BN70" s="52">
        <v>90</v>
      </c>
      <c r="BO70" s="52">
        <v>90</v>
      </c>
      <c r="BP70" s="52">
        <v>30</v>
      </c>
      <c r="BQ70" s="52">
        <v>30</v>
      </c>
      <c r="BR70" s="47"/>
      <c r="BS70" s="52">
        <v>14</v>
      </c>
      <c r="BT70" s="52">
        <v>14</v>
      </c>
      <c r="BU70" s="52">
        <v>14</v>
      </c>
      <c r="BV70" s="52">
        <v>90</v>
      </c>
      <c r="BW70" s="52">
        <v>90</v>
      </c>
      <c r="BX70" s="52">
        <v>90</v>
      </c>
      <c r="BY70" s="52">
        <v>90</v>
      </c>
      <c r="BZ70" s="52">
        <v>90</v>
      </c>
      <c r="CA70" s="52">
        <v>90</v>
      </c>
      <c r="CB70" s="52">
        <v>30</v>
      </c>
      <c r="CC70" s="52">
        <v>30</v>
      </c>
      <c r="CD70" s="52">
        <v>30</v>
      </c>
    </row>
    <row r="71" spans="1:82" x14ac:dyDescent="0.25">
      <c r="A71" s="120" t="s">
        <v>741</v>
      </c>
      <c r="B71" s="54"/>
      <c r="C71" s="54"/>
      <c r="D71" s="55"/>
      <c r="E71" s="52"/>
      <c r="F71" s="52"/>
      <c r="G71" s="52"/>
      <c r="H71" s="52"/>
      <c r="I71" s="52"/>
      <c r="J71" s="52"/>
      <c r="K71" s="52"/>
      <c r="L71" s="52"/>
      <c r="M71" s="52"/>
      <c r="N71" s="52"/>
      <c r="O71" s="52"/>
      <c r="P71" s="52"/>
      <c r="Q71" s="52"/>
      <c r="R71" s="52"/>
      <c r="S71" s="52"/>
      <c r="T71" s="52"/>
      <c r="U71" s="52"/>
      <c r="V71" s="52"/>
      <c r="W71" s="52"/>
      <c r="X71" s="52"/>
      <c r="Y71" s="47"/>
      <c r="Z71" s="47"/>
      <c r="AA71" s="47"/>
      <c r="AB71" s="52"/>
      <c r="AC71" s="47"/>
      <c r="AD71" s="47"/>
      <c r="AE71" s="47"/>
      <c r="AF71" s="47"/>
      <c r="AG71" s="47"/>
      <c r="AH71" s="47"/>
      <c r="AI71" s="47"/>
      <c r="AJ71" s="47"/>
      <c r="AK71" s="47"/>
      <c r="AL71" s="47"/>
      <c r="AM71" s="47"/>
      <c r="AN71" s="47"/>
      <c r="AO71" s="52"/>
      <c r="AP71" s="52"/>
      <c r="AQ71" s="52"/>
      <c r="AR71" s="47"/>
      <c r="AS71" s="47"/>
      <c r="AT71" s="47"/>
      <c r="AU71" s="47"/>
      <c r="AV71" s="47"/>
      <c r="AW71" s="52"/>
      <c r="AX71" s="52"/>
      <c r="AY71" s="52"/>
      <c r="AZ71" s="52"/>
      <c r="BA71" s="47"/>
      <c r="BB71" s="47"/>
      <c r="BC71" s="47"/>
      <c r="BD71" s="47"/>
      <c r="BE71" s="52"/>
      <c r="BF71" s="47"/>
      <c r="BG71" s="52"/>
      <c r="BH71" s="52"/>
      <c r="BI71" s="52"/>
      <c r="BJ71" s="52"/>
      <c r="BK71" s="47"/>
      <c r="BL71" s="47"/>
      <c r="BM71" s="47"/>
      <c r="BN71" s="47"/>
      <c r="BO71" s="47"/>
      <c r="BP71" s="52"/>
      <c r="BQ71" s="52"/>
      <c r="BR71" s="47"/>
      <c r="BS71" s="52"/>
      <c r="BT71" s="52"/>
      <c r="BU71" s="52"/>
      <c r="BV71" s="52"/>
      <c r="BW71" s="52"/>
      <c r="BX71" s="47"/>
      <c r="BY71" s="47"/>
      <c r="BZ71" s="47"/>
      <c r="CA71" s="47"/>
      <c r="CB71" s="52"/>
      <c r="CC71" s="52"/>
      <c r="CD71" s="52"/>
    </row>
    <row r="72" spans="1:82" ht="39.6" x14ac:dyDescent="0.25">
      <c r="A72" s="120" t="s">
        <v>820</v>
      </c>
      <c r="B72" s="54" t="s">
        <v>718</v>
      </c>
      <c r="C72" s="54" t="s">
        <v>121</v>
      </c>
      <c r="D72" s="55">
        <f>MIN(E72:BC72)</f>
        <v>3</v>
      </c>
      <c r="E72" s="52"/>
      <c r="F72" s="52"/>
      <c r="G72" s="52"/>
      <c r="H72" s="52"/>
      <c r="I72" s="52"/>
      <c r="J72" s="52"/>
      <c r="K72" s="52"/>
      <c r="L72" s="52"/>
      <c r="M72" s="52"/>
      <c r="N72" s="52"/>
      <c r="O72" s="52"/>
      <c r="P72" s="52"/>
      <c r="Q72" s="52"/>
      <c r="R72" s="52"/>
      <c r="S72" s="52"/>
      <c r="T72" s="52">
        <v>3</v>
      </c>
      <c r="U72" s="52">
        <v>3</v>
      </c>
      <c r="V72" s="52"/>
      <c r="W72" s="52"/>
      <c r="X72" s="52"/>
      <c r="Y72" s="47"/>
      <c r="Z72" s="47"/>
      <c r="AA72" s="47"/>
      <c r="AB72" s="52"/>
      <c r="AC72" s="47"/>
      <c r="AD72" s="47"/>
      <c r="AE72" s="47"/>
      <c r="AF72" s="47"/>
      <c r="AG72" s="47"/>
      <c r="AH72" s="47"/>
      <c r="AI72" s="47"/>
      <c r="AJ72" s="47"/>
      <c r="AK72" s="47" t="s">
        <v>83</v>
      </c>
      <c r="AL72" s="47" t="s">
        <v>83</v>
      </c>
      <c r="AM72" s="47"/>
      <c r="AN72" s="47"/>
      <c r="AO72" s="52"/>
      <c r="AP72" s="52"/>
      <c r="AQ72" s="52"/>
      <c r="AR72" s="47"/>
      <c r="AS72" s="47"/>
      <c r="AT72" s="47"/>
      <c r="AU72" s="47"/>
      <c r="AV72" s="47"/>
      <c r="AW72" s="52"/>
      <c r="AX72" s="52"/>
      <c r="AY72" s="52"/>
      <c r="AZ72" s="52"/>
      <c r="BA72" s="47"/>
      <c r="BB72" s="47"/>
      <c r="BC72" s="47"/>
      <c r="BD72" s="47"/>
      <c r="BE72" s="52"/>
      <c r="BF72" s="47"/>
      <c r="BG72" s="52"/>
      <c r="BH72" s="52"/>
      <c r="BI72" s="52"/>
      <c r="BJ72" s="52"/>
      <c r="BK72" s="47"/>
      <c r="BL72" s="47"/>
      <c r="BM72" s="47"/>
      <c r="BN72" s="47"/>
      <c r="BO72" s="47"/>
      <c r="BP72" s="52"/>
      <c r="BQ72" s="52"/>
      <c r="BR72" s="47"/>
      <c r="BS72" s="52"/>
      <c r="BT72" s="52"/>
      <c r="BU72" s="52"/>
      <c r="BV72" s="52"/>
      <c r="BW72" s="52"/>
      <c r="BX72" s="47"/>
      <c r="BY72" s="47"/>
      <c r="BZ72" s="47"/>
      <c r="CA72" s="47"/>
      <c r="CB72" s="52"/>
      <c r="CC72" s="52"/>
      <c r="CD72" s="52"/>
    </row>
    <row r="73" spans="1:82" x14ac:dyDescent="0.25">
      <c r="A73" s="120" t="s">
        <v>731</v>
      </c>
      <c r="B73" s="54"/>
      <c r="C73" s="54"/>
      <c r="D73" s="55"/>
      <c r="E73" s="52"/>
      <c r="F73" s="52"/>
      <c r="G73" s="52"/>
      <c r="H73" s="52"/>
      <c r="I73" s="52"/>
      <c r="J73" s="52"/>
      <c r="K73" s="52"/>
      <c r="L73" s="52"/>
      <c r="M73" s="52"/>
      <c r="N73" s="52"/>
      <c r="O73" s="52"/>
      <c r="P73" s="52"/>
      <c r="Q73" s="52"/>
      <c r="R73" s="52"/>
      <c r="S73" s="52"/>
      <c r="T73" s="52"/>
      <c r="U73" s="52"/>
      <c r="V73" s="52"/>
      <c r="W73" s="52"/>
      <c r="X73" s="52"/>
      <c r="Y73" s="47"/>
      <c r="Z73" s="47"/>
      <c r="AA73" s="47"/>
      <c r="AB73" s="52"/>
      <c r="AC73" s="47"/>
      <c r="AD73" s="47"/>
      <c r="AE73" s="47"/>
      <c r="AF73" s="47"/>
      <c r="AG73" s="47"/>
      <c r="AH73" s="47"/>
      <c r="AI73" s="47"/>
      <c r="AJ73" s="47"/>
      <c r="AK73" s="47"/>
      <c r="AL73" s="47"/>
      <c r="AM73" s="47"/>
      <c r="AN73" s="47"/>
      <c r="AO73" s="52"/>
      <c r="AP73" s="52"/>
      <c r="AQ73" s="52"/>
      <c r="AR73" s="47"/>
      <c r="AS73" s="47"/>
      <c r="AT73" s="47"/>
      <c r="AU73" s="47"/>
      <c r="AV73" s="47"/>
      <c r="AW73" s="52"/>
      <c r="AX73" s="52"/>
      <c r="AY73" s="52"/>
      <c r="AZ73" s="52"/>
      <c r="BA73" s="47"/>
      <c r="BB73" s="47"/>
      <c r="BC73" s="47"/>
      <c r="BD73" s="47"/>
      <c r="BE73" s="52"/>
      <c r="BF73" s="47"/>
      <c r="BG73" s="52"/>
      <c r="BH73" s="52"/>
      <c r="BI73" s="52"/>
      <c r="BJ73" s="52"/>
      <c r="BK73" s="47"/>
      <c r="BL73" s="47"/>
      <c r="BM73" s="47"/>
      <c r="BN73" s="47"/>
      <c r="BO73" s="47"/>
      <c r="BP73" s="52"/>
      <c r="BQ73" s="52"/>
      <c r="BR73" s="47"/>
      <c r="BS73" s="52"/>
      <c r="BT73" s="52"/>
      <c r="BU73" s="52"/>
      <c r="BV73" s="52"/>
      <c r="BW73" s="52"/>
      <c r="BX73" s="47"/>
      <c r="BY73" s="47"/>
      <c r="BZ73" s="47"/>
      <c r="CA73" s="47"/>
      <c r="CB73" s="52"/>
      <c r="CC73" s="52"/>
      <c r="CD73" s="52"/>
    </row>
    <row r="74" spans="1:82" ht="26.4" x14ac:dyDescent="0.25">
      <c r="A74" s="120" t="s">
        <v>840</v>
      </c>
      <c r="B74" s="54" t="s">
        <v>720</v>
      </c>
      <c r="C74" s="54"/>
      <c r="D74" s="55"/>
      <c r="E74" s="52"/>
      <c r="F74" s="52"/>
      <c r="G74" s="52"/>
      <c r="H74" s="52"/>
      <c r="I74" s="52"/>
      <c r="J74" s="52"/>
      <c r="K74" s="52"/>
      <c r="L74" s="52"/>
      <c r="M74" s="52"/>
      <c r="N74" s="52"/>
      <c r="O74" s="52"/>
      <c r="P74" s="52"/>
      <c r="Q74" s="52"/>
      <c r="R74" s="52"/>
      <c r="S74" s="52"/>
      <c r="T74" s="52"/>
      <c r="U74" s="52"/>
      <c r="V74" s="52"/>
      <c r="W74" s="52"/>
      <c r="X74" s="52"/>
      <c r="Y74" s="47"/>
      <c r="Z74" s="47"/>
      <c r="AA74" s="47"/>
      <c r="AB74" s="52"/>
      <c r="AC74" s="47"/>
      <c r="AD74" s="47"/>
      <c r="AE74" s="47"/>
      <c r="AF74" s="47"/>
      <c r="AG74" s="47"/>
      <c r="AH74" s="47"/>
      <c r="AI74" s="47"/>
      <c r="AJ74" s="47"/>
      <c r="AK74" s="47"/>
      <c r="AL74" s="47"/>
      <c r="AM74" s="47"/>
      <c r="AN74" s="47"/>
      <c r="AO74" s="52"/>
      <c r="AP74" s="52"/>
      <c r="AQ74" s="52"/>
      <c r="AR74" s="47"/>
      <c r="AS74" s="47"/>
      <c r="AT74" s="47"/>
      <c r="AU74" s="47"/>
      <c r="AV74" s="47"/>
      <c r="AW74" s="52"/>
      <c r="AX74" s="52"/>
      <c r="AY74" s="52"/>
      <c r="AZ74" s="52"/>
      <c r="BA74" s="47"/>
      <c r="BB74" s="47"/>
      <c r="BC74" s="47"/>
      <c r="BD74" s="47"/>
      <c r="BE74" s="52"/>
      <c r="BF74" s="47"/>
      <c r="BG74" s="52"/>
      <c r="BH74" s="52"/>
      <c r="BI74" s="52"/>
      <c r="BJ74" s="52"/>
      <c r="BK74" s="47"/>
      <c r="BL74" s="47"/>
      <c r="BM74" s="47"/>
      <c r="BN74" s="47"/>
      <c r="BO74" s="47"/>
      <c r="BP74" s="52"/>
      <c r="BQ74" s="52"/>
      <c r="BR74" s="47"/>
      <c r="BS74" s="52"/>
      <c r="BT74" s="52"/>
      <c r="BU74" s="52"/>
      <c r="BV74" s="52"/>
      <c r="BW74" s="52"/>
      <c r="BX74" s="47"/>
      <c r="BY74" s="47"/>
      <c r="BZ74" s="47"/>
      <c r="CA74" s="47"/>
      <c r="CB74" s="52"/>
      <c r="CC74" s="52"/>
      <c r="CD74" s="52"/>
    </row>
    <row r="75" spans="1:82" x14ac:dyDescent="0.25">
      <c r="A75" s="120" t="s">
        <v>214</v>
      </c>
      <c r="B75" s="54" t="s">
        <v>718</v>
      </c>
      <c r="C75" s="54" t="s">
        <v>121</v>
      </c>
      <c r="D75" s="55">
        <f>MIN(E75:BC75)</f>
        <v>0.16</v>
      </c>
      <c r="E75" s="52">
        <v>30</v>
      </c>
      <c r="F75" s="52">
        <v>0.25</v>
      </c>
      <c r="G75" s="52">
        <v>1</v>
      </c>
      <c r="H75" s="52">
        <v>1</v>
      </c>
      <c r="I75" s="52">
        <v>1</v>
      </c>
      <c r="J75" s="52"/>
      <c r="K75" s="52"/>
      <c r="L75" s="52"/>
      <c r="M75" s="52">
        <v>1</v>
      </c>
      <c r="N75" s="52">
        <v>1</v>
      </c>
      <c r="O75" s="52">
        <v>30</v>
      </c>
      <c r="P75" s="52">
        <v>30</v>
      </c>
      <c r="Q75" s="52">
        <v>30</v>
      </c>
      <c r="R75" s="52"/>
      <c r="S75" s="52"/>
      <c r="T75" s="52">
        <v>3</v>
      </c>
      <c r="U75" s="52">
        <v>3</v>
      </c>
      <c r="V75" s="52">
        <v>30</v>
      </c>
      <c r="W75" s="52">
        <v>0.25</v>
      </c>
      <c r="X75" s="52">
        <v>1</v>
      </c>
      <c r="Y75" s="52">
        <v>3</v>
      </c>
      <c r="Z75" s="47">
        <v>30</v>
      </c>
      <c r="AA75" s="47">
        <v>30</v>
      </c>
      <c r="AB75" s="52">
        <v>1</v>
      </c>
      <c r="AC75" s="47">
        <v>1</v>
      </c>
      <c r="AD75" s="47">
        <v>0.16</v>
      </c>
      <c r="AE75" s="47">
        <v>0.16</v>
      </c>
      <c r="AF75" s="47">
        <v>30</v>
      </c>
      <c r="AG75" s="47">
        <v>30</v>
      </c>
      <c r="AH75" s="47">
        <v>30</v>
      </c>
      <c r="AI75" s="47">
        <v>1</v>
      </c>
      <c r="AJ75" s="47">
        <v>5</v>
      </c>
      <c r="AK75" s="47">
        <v>10</v>
      </c>
      <c r="AL75" s="47">
        <v>3</v>
      </c>
      <c r="AM75" s="47">
        <v>10</v>
      </c>
      <c r="AN75" s="47">
        <v>3</v>
      </c>
      <c r="AO75" s="52">
        <v>30</v>
      </c>
      <c r="AP75" s="52">
        <v>10</v>
      </c>
      <c r="AQ75" s="52">
        <v>30</v>
      </c>
      <c r="AR75" s="52">
        <v>30</v>
      </c>
      <c r="AS75" s="52">
        <v>30</v>
      </c>
      <c r="AT75" s="52">
        <v>30</v>
      </c>
      <c r="AU75" s="47">
        <v>2</v>
      </c>
      <c r="AV75" s="47">
        <v>3</v>
      </c>
      <c r="AW75" s="52">
        <v>14</v>
      </c>
      <c r="AX75" s="52">
        <v>14</v>
      </c>
      <c r="AY75" s="52">
        <v>90</v>
      </c>
      <c r="AZ75" s="52">
        <v>90</v>
      </c>
      <c r="BA75" s="52">
        <v>90</v>
      </c>
      <c r="BB75" s="52">
        <v>90</v>
      </c>
      <c r="BC75" s="52">
        <v>90</v>
      </c>
      <c r="BD75" s="52">
        <v>90</v>
      </c>
      <c r="BE75" s="52">
        <v>30</v>
      </c>
      <c r="BF75" s="47">
        <v>3</v>
      </c>
      <c r="BG75" s="52">
        <v>14</v>
      </c>
      <c r="BH75" s="52">
        <v>14</v>
      </c>
      <c r="BI75" s="52">
        <v>90</v>
      </c>
      <c r="BJ75" s="52">
        <v>90</v>
      </c>
      <c r="BK75" s="52">
        <v>90</v>
      </c>
      <c r="BL75" s="52">
        <v>90</v>
      </c>
      <c r="BM75" s="52">
        <v>90</v>
      </c>
      <c r="BN75" s="52">
        <v>90</v>
      </c>
      <c r="BO75" s="52">
        <v>90</v>
      </c>
      <c r="BP75" s="52">
        <v>30</v>
      </c>
      <c r="BQ75" s="52">
        <v>30</v>
      </c>
      <c r="BR75" s="47">
        <v>3</v>
      </c>
      <c r="BS75" s="52">
        <v>14</v>
      </c>
      <c r="BT75" s="52">
        <v>14</v>
      </c>
      <c r="BU75" s="52">
        <v>14</v>
      </c>
      <c r="BV75" s="52">
        <v>90</v>
      </c>
      <c r="BW75" s="52">
        <v>90</v>
      </c>
      <c r="BX75" s="52">
        <v>90</v>
      </c>
      <c r="BY75" s="52">
        <v>90</v>
      </c>
      <c r="BZ75" s="52">
        <v>90</v>
      </c>
      <c r="CA75" s="52">
        <v>90</v>
      </c>
      <c r="CB75" s="52">
        <v>30</v>
      </c>
      <c r="CC75" s="52">
        <v>30</v>
      </c>
      <c r="CD75" s="52">
        <v>30</v>
      </c>
    </row>
    <row r="76" spans="1:82" ht="26.4" x14ac:dyDescent="0.25">
      <c r="A76" s="120" t="s">
        <v>215</v>
      </c>
      <c r="B76" s="54" t="s">
        <v>500</v>
      </c>
      <c r="C76" s="54" t="s">
        <v>121</v>
      </c>
      <c r="D76" s="55">
        <f>MIN(E76:BC76)</f>
        <v>0.16</v>
      </c>
      <c r="E76" s="52">
        <v>30</v>
      </c>
      <c r="F76" s="52">
        <v>0.25</v>
      </c>
      <c r="G76" s="52">
        <v>1</v>
      </c>
      <c r="H76" s="52">
        <v>1</v>
      </c>
      <c r="I76" s="52">
        <v>1</v>
      </c>
      <c r="J76" s="52"/>
      <c r="K76" s="52">
        <v>1</v>
      </c>
      <c r="L76" s="52">
        <v>1</v>
      </c>
      <c r="M76" s="52">
        <v>1</v>
      </c>
      <c r="N76" s="52">
        <v>1</v>
      </c>
      <c r="O76" s="52">
        <v>30</v>
      </c>
      <c r="P76" s="52">
        <v>30</v>
      </c>
      <c r="Q76" s="52">
        <v>30</v>
      </c>
      <c r="R76" s="52"/>
      <c r="S76" s="52"/>
      <c r="T76" s="52">
        <v>3</v>
      </c>
      <c r="U76" s="52">
        <v>3</v>
      </c>
      <c r="V76" s="52">
        <v>30</v>
      </c>
      <c r="W76" s="52">
        <v>0.25</v>
      </c>
      <c r="X76" s="52">
        <v>1</v>
      </c>
      <c r="Y76" s="52">
        <v>3</v>
      </c>
      <c r="Z76" s="47"/>
      <c r="AA76" s="47">
        <v>30</v>
      </c>
      <c r="AB76" s="52">
        <v>1</v>
      </c>
      <c r="AC76" s="47"/>
      <c r="AD76" s="47">
        <v>0.16</v>
      </c>
      <c r="AE76" s="47">
        <v>0.16</v>
      </c>
      <c r="AF76" s="47">
        <v>30</v>
      </c>
      <c r="AG76" s="47">
        <v>30</v>
      </c>
      <c r="AH76" s="47">
        <v>30</v>
      </c>
      <c r="AI76" s="47">
        <v>1</v>
      </c>
      <c r="AJ76" s="47">
        <v>5</v>
      </c>
      <c r="AK76" s="47">
        <v>10</v>
      </c>
      <c r="AL76" s="47">
        <v>3</v>
      </c>
      <c r="AM76" s="47">
        <v>10</v>
      </c>
      <c r="AN76" s="47">
        <v>3</v>
      </c>
      <c r="AO76" s="52"/>
      <c r="AP76" s="52">
        <v>10</v>
      </c>
      <c r="AQ76" s="52">
        <v>30</v>
      </c>
      <c r="AR76" s="52">
        <v>30</v>
      </c>
      <c r="AS76" s="52">
        <v>30</v>
      </c>
      <c r="AT76" s="47"/>
      <c r="AU76" s="47">
        <v>2</v>
      </c>
      <c r="AV76" s="47">
        <v>3</v>
      </c>
      <c r="AW76" s="52">
        <v>14</v>
      </c>
      <c r="AX76" s="52">
        <v>14</v>
      </c>
      <c r="AY76" s="52">
        <v>90</v>
      </c>
      <c r="AZ76" s="52">
        <v>90</v>
      </c>
      <c r="BA76" s="52">
        <v>90</v>
      </c>
      <c r="BB76" s="52">
        <v>90</v>
      </c>
      <c r="BC76" s="52">
        <v>90</v>
      </c>
      <c r="BD76" s="52">
        <v>90</v>
      </c>
      <c r="BE76" s="52">
        <v>30</v>
      </c>
      <c r="BF76" s="47">
        <v>3</v>
      </c>
      <c r="BG76" s="52">
        <v>14</v>
      </c>
      <c r="BH76" s="52">
        <v>14</v>
      </c>
      <c r="BI76" s="52">
        <v>90</v>
      </c>
      <c r="BJ76" s="52">
        <v>90</v>
      </c>
      <c r="BK76" s="52">
        <v>90</v>
      </c>
      <c r="BL76" s="52">
        <v>90</v>
      </c>
      <c r="BM76" s="52">
        <v>90</v>
      </c>
      <c r="BN76" s="52">
        <v>90</v>
      </c>
      <c r="BO76" s="52">
        <v>90</v>
      </c>
      <c r="BP76" s="52">
        <v>30</v>
      </c>
      <c r="BQ76" s="52">
        <v>30</v>
      </c>
      <c r="BR76" s="47">
        <v>3</v>
      </c>
      <c r="BS76" s="52">
        <v>14</v>
      </c>
      <c r="BT76" s="52">
        <v>14</v>
      </c>
      <c r="BU76" s="52">
        <v>14</v>
      </c>
      <c r="BV76" s="52">
        <v>90</v>
      </c>
      <c r="BW76" s="52">
        <v>90</v>
      </c>
      <c r="BX76" s="52">
        <v>90</v>
      </c>
      <c r="BY76" s="52">
        <v>90</v>
      </c>
      <c r="BZ76" s="52">
        <v>90</v>
      </c>
      <c r="CA76" s="52">
        <v>90</v>
      </c>
      <c r="CB76" s="52">
        <v>30</v>
      </c>
      <c r="CC76" s="52">
        <v>30</v>
      </c>
      <c r="CD76" s="52">
        <v>30</v>
      </c>
    </row>
    <row r="77" spans="1:82" ht="26.4" x14ac:dyDescent="0.25">
      <c r="A77" s="120" t="s">
        <v>860</v>
      </c>
      <c r="B77" s="54"/>
      <c r="C77" s="54" t="s">
        <v>121</v>
      </c>
      <c r="D77" s="55">
        <f>MIN(E77:BC77)</f>
        <v>14</v>
      </c>
      <c r="E77" s="52"/>
      <c r="F77" s="52"/>
      <c r="G77" s="52"/>
      <c r="H77" s="52"/>
      <c r="I77" s="52"/>
      <c r="J77" s="52"/>
      <c r="K77" s="52"/>
      <c r="L77" s="52"/>
      <c r="M77" s="52"/>
      <c r="N77" s="52"/>
      <c r="O77" s="52"/>
      <c r="P77" s="52"/>
      <c r="Q77" s="52"/>
      <c r="R77" s="52"/>
      <c r="S77" s="52"/>
      <c r="T77" s="52"/>
      <c r="U77" s="52"/>
      <c r="V77" s="52"/>
      <c r="W77" s="52"/>
      <c r="X77" s="52"/>
      <c r="Y77" s="47"/>
      <c r="Z77" s="47"/>
      <c r="AA77" s="47"/>
      <c r="AB77" s="52"/>
      <c r="AC77" s="47"/>
      <c r="AD77" s="47"/>
      <c r="AE77" s="47"/>
      <c r="AF77" s="47"/>
      <c r="AG77" s="47"/>
      <c r="AH77" s="47"/>
      <c r="AI77" s="47"/>
      <c r="AJ77" s="47"/>
      <c r="AK77" s="47"/>
      <c r="AL77" s="47"/>
      <c r="AM77" s="47"/>
      <c r="AN77" s="47"/>
      <c r="AO77" s="52"/>
      <c r="AP77" s="52"/>
      <c r="AQ77" s="52"/>
      <c r="AR77" s="47"/>
      <c r="AS77" s="47"/>
      <c r="AT77" s="47"/>
      <c r="AU77" s="47"/>
      <c r="AV77" s="47"/>
      <c r="AW77" s="52">
        <v>14</v>
      </c>
      <c r="AX77" s="52"/>
      <c r="AY77" s="52"/>
      <c r="AZ77" s="52"/>
      <c r="BA77" s="47"/>
      <c r="BB77" s="47"/>
      <c r="BC77" s="47"/>
      <c r="BD77" s="47"/>
      <c r="BE77" s="52"/>
      <c r="BF77" s="47"/>
      <c r="BG77" s="52">
        <v>14</v>
      </c>
      <c r="BH77" s="52"/>
      <c r="BI77" s="52"/>
      <c r="BJ77" s="52"/>
      <c r="BK77" s="47"/>
      <c r="BL77" s="47"/>
      <c r="BM77" s="47"/>
      <c r="BN77" s="47"/>
      <c r="BO77" s="47"/>
      <c r="BP77" s="52"/>
      <c r="BQ77" s="52"/>
      <c r="BR77" s="47"/>
      <c r="BS77" s="52">
        <v>14</v>
      </c>
      <c r="BT77" s="52"/>
      <c r="BU77" s="52"/>
      <c r="BV77" s="52"/>
      <c r="BW77" s="52"/>
      <c r="BX77" s="47"/>
      <c r="BY77" s="47"/>
      <c r="BZ77" s="47"/>
      <c r="CA77" s="47"/>
      <c r="CB77" s="52"/>
      <c r="CC77" s="52"/>
      <c r="CD77" s="52"/>
    </row>
    <row r="78" spans="1:82" x14ac:dyDescent="0.25">
      <c r="A78" s="120" t="s">
        <v>753</v>
      </c>
      <c r="B78" s="54"/>
      <c r="C78" s="54"/>
      <c r="D78" s="55"/>
      <c r="E78" s="52"/>
      <c r="F78" s="52"/>
      <c r="G78" s="52"/>
      <c r="H78" s="52"/>
      <c r="I78" s="52"/>
      <c r="J78" s="52"/>
      <c r="K78" s="52"/>
      <c r="L78" s="52"/>
      <c r="M78" s="52"/>
      <c r="N78" s="52"/>
      <c r="O78" s="52"/>
      <c r="P78" s="52"/>
      <c r="Q78" s="52"/>
      <c r="R78" s="52"/>
      <c r="S78" s="52"/>
      <c r="T78" s="52"/>
      <c r="U78" s="52"/>
      <c r="V78" s="52"/>
      <c r="W78" s="52"/>
      <c r="X78" s="52"/>
      <c r="Y78" s="47"/>
      <c r="Z78" s="47"/>
      <c r="AA78" s="47"/>
      <c r="AB78" s="52"/>
      <c r="AC78" s="47"/>
      <c r="AD78" s="47"/>
      <c r="AE78" s="47"/>
      <c r="AF78" s="47"/>
      <c r="AG78" s="47"/>
      <c r="AH78" s="47"/>
      <c r="AI78" s="47"/>
      <c r="AJ78" s="47"/>
      <c r="AK78" s="47"/>
      <c r="AL78" s="47"/>
      <c r="AM78" s="47"/>
      <c r="AN78" s="47"/>
      <c r="AO78" s="52"/>
      <c r="AP78" s="52"/>
      <c r="AQ78" s="52"/>
      <c r="AR78" s="47"/>
      <c r="AS78" s="47"/>
      <c r="AT78" s="47"/>
      <c r="AU78" s="47"/>
      <c r="AV78" s="47"/>
      <c r="AW78" s="52"/>
      <c r="AX78" s="52"/>
      <c r="AY78" s="52"/>
      <c r="AZ78" s="52"/>
      <c r="BA78" s="47"/>
      <c r="BB78" s="47"/>
      <c r="BC78" s="47"/>
      <c r="BD78" s="47"/>
      <c r="BE78" s="52"/>
      <c r="BF78" s="47"/>
      <c r="BG78" s="52"/>
      <c r="BH78" s="52"/>
      <c r="BI78" s="52"/>
      <c r="BJ78" s="52"/>
      <c r="BK78" s="47"/>
      <c r="BL78" s="47"/>
      <c r="BM78" s="47"/>
      <c r="BN78" s="47"/>
      <c r="BO78" s="47"/>
      <c r="BP78" s="52"/>
      <c r="BQ78" s="52"/>
      <c r="BR78" s="47"/>
      <c r="BS78" s="52"/>
      <c r="BT78" s="52"/>
      <c r="BU78" s="52"/>
      <c r="BV78" s="52"/>
      <c r="BW78" s="52"/>
      <c r="BX78" s="47"/>
      <c r="BY78" s="47"/>
      <c r="BZ78" s="47"/>
      <c r="CA78" s="47"/>
      <c r="CB78" s="52"/>
      <c r="CC78" s="52"/>
      <c r="CD78" s="52"/>
    </row>
    <row r="79" spans="1:82" ht="26.4" x14ac:dyDescent="0.25">
      <c r="A79" s="120" t="s">
        <v>756</v>
      </c>
      <c r="B79" s="54"/>
      <c r="C79" s="54"/>
      <c r="D79" s="55"/>
      <c r="E79" s="52"/>
      <c r="F79" s="52"/>
      <c r="G79" s="52"/>
      <c r="H79" s="52"/>
      <c r="I79" s="52"/>
      <c r="J79" s="52"/>
      <c r="K79" s="52"/>
      <c r="L79" s="52"/>
      <c r="M79" s="52"/>
      <c r="N79" s="52"/>
      <c r="O79" s="52"/>
      <c r="P79" s="52"/>
      <c r="Q79" s="52"/>
      <c r="R79" s="52"/>
      <c r="S79" s="52"/>
      <c r="T79" s="52"/>
      <c r="U79" s="52"/>
      <c r="V79" s="52"/>
      <c r="W79" s="52"/>
      <c r="X79" s="52"/>
      <c r="Y79" s="47"/>
      <c r="Z79" s="47"/>
      <c r="AA79" s="47"/>
      <c r="AB79" s="52"/>
      <c r="AC79" s="47"/>
      <c r="AD79" s="47"/>
      <c r="AE79" s="47"/>
      <c r="AF79" s="47"/>
      <c r="AG79" s="47"/>
      <c r="AH79" s="47"/>
      <c r="AI79" s="47"/>
      <c r="AJ79" s="47"/>
      <c r="AK79" s="47"/>
      <c r="AL79" s="47"/>
      <c r="AM79" s="47"/>
      <c r="AN79" s="47"/>
      <c r="AO79" s="52"/>
      <c r="AP79" s="52"/>
      <c r="AQ79" s="52"/>
      <c r="AR79" s="47"/>
      <c r="AS79" s="47"/>
      <c r="AT79" s="47"/>
      <c r="AU79" s="47"/>
      <c r="AV79" s="47"/>
      <c r="AW79" s="52"/>
      <c r="AX79" s="52"/>
      <c r="AY79" s="52"/>
      <c r="AZ79" s="52"/>
      <c r="BA79" s="47"/>
      <c r="BB79" s="47"/>
      <c r="BC79" s="47"/>
      <c r="BD79" s="47"/>
      <c r="BE79" s="52"/>
      <c r="BF79" s="47"/>
      <c r="BG79" s="52"/>
      <c r="BH79" s="52"/>
      <c r="BI79" s="52"/>
      <c r="BJ79" s="52"/>
      <c r="BK79" s="47"/>
      <c r="BL79" s="47"/>
      <c r="BM79" s="47"/>
      <c r="BN79" s="47"/>
      <c r="BO79" s="47"/>
      <c r="BP79" s="52"/>
      <c r="BQ79" s="52"/>
      <c r="BR79" s="47"/>
      <c r="BS79" s="52"/>
      <c r="BT79" s="52"/>
      <c r="BU79" s="52"/>
      <c r="BV79" s="52"/>
      <c r="BW79" s="52"/>
      <c r="BX79" s="47"/>
      <c r="BY79" s="47"/>
      <c r="BZ79" s="47"/>
      <c r="CA79" s="47"/>
      <c r="CB79" s="52"/>
      <c r="CC79" s="52"/>
      <c r="CD79" s="52"/>
    </row>
    <row r="80" spans="1:82" ht="39.6" x14ac:dyDescent="0.25">
      <c r="A80" s="120" t="s">
        <v>714</v>
      </c>
      <c r="B80" s="54" t="s">
        <v>718</v>
      </c>
      <c r="C80" s="54" t="s">
        <v>121</v>
      </c>
      <c r="D80" s="55">
        <f>MIN(E80:BC80)</f>
        <v>1</v>
      </c>
      <c r="E80" s="52"/>
      <c r="F80" s="52"/>
      <c r="G80" s="52"/>
      <c r="H80" s="52"/>
      <c r="I80" s="52"/>
      <c r="J80" s="52"/>
      <c r="K80" s="52">
        <v>1</v>
      </c>
      <c r="L80" s="52">
        <v>1</v>
      </c>
      <c r="M80" s="52"/>
      <c r="N80" s="52"/>
      <c r="O80" s="52"/>
      <c r="P80" s="52"/>
      <c r="Q80" s="52"/>
      <c r="R80" s="52"/>
      <c r="S80" s="52"/>
      <c r="T80" s="52"/>
      <c r="U80" s="52"/>
      <c r="V80" s="52"/>
      <c r="W80" s="52"/>
      <c r="X80" s="52"/>
      <c r="Y80" s="47"/>
      <c r="Z80" s="47"/>
      <c r="AA80" s="47"/>
      <c r="AB80" s="52"/>
      <c r="AC80" s="47"/>
      <c r="AD80" s="47"/>
      <c r="AE80" s="47"/>
      <c r="AF80" s="47"/>
      <c r="AG80" s="47"/>
      <c r="AH80" s="47"/>
      <c r="AI80" s="47"/>
      <c r="AJ80" s="47"/>
      <c r="AK80" s="47"/>
      <c r="AL80" s="47"/>
      <c r="AM80" s="47"/>
      <c r="AN80" s="47"/>
      <c r="AO80" s="52"/>
      <c r="AP80" s="52"/>
      <c r="AQ80" s="52"/>
      <c r="AR80" s="47"/>
      <c r="AS80" s="47"/>
      <c r="AT80" s="47"/>
      <c r="AU80" s="47"/>
      <c r="AV80" s="47"/>
      <c r="AW80" s="52"/>
      <c r="AX80" s="52"/>
      <c r="AY80" s="52"/>
      <c r="AZ80" s="52"/>
      <c r="BA80" s="47"/>
      <c r="BB80" s="47"/>
      <c r="BC80" s="47"/>
      <c r="BD80" s="47"/>
      <c r="BE80" s="52"/>
      <c r="BF80" s="47"/>
      <c r="BG80" s="52"/>
      <c r="BH80" s="52"/>
      <c r="BI80" s="52"/>
      <c r="BJ80" s="52"/>
      <c r="BK80" s="47"/>
      <c r="BL80" s="47"/>
      <c r="BM80" s="47"/>
      <c r="BN80" s="47"/>
      <c r="BO80" s="47"/>
      <c r="BP80" s="52"/>
      <c r="BQ80" s="52"/>
      <c r="BR80" s="47"/>
      <c r="BS80" s="52"/>
      <c r="BT80" s="52"/>
      <c r="BU80" s="52"/>
      <c r="BV80" s="52"/>
      <c r="BW80" s="52"/>
      <c r="BX80" s="47"/>
      <c r="BY80" s="47"/>
      <c r="BZ80" s="47"/>
      <c r="CA80" s="47"/>
      <c r="CB80" s="52"/>
      <c r="CC80" s="52"/>
      <c r="CD80" s="52"/>
    </row>
    <row r="81" spans="1:82" ht="26.4" x14ac:dyDescent="0.25">
      <c r="A81" s="120" t="s">
        <v>841</v>
      </c>
      <c r="B81" s="54" t="s">
        <v>720</v>
      </c>
      <c r="C81" s="54"/>
      <c r="D81" s="55"/>
      <c r="E81" s="52"/>
      <c r="F81" s="52"/>
      <c r="G81" s="52"/>
      <c r="H81" s="52"/>
      <c r="I81" s="52"/>
      <c r="J81" s="52"/>
      <c r="K81" s="52"/>
      <c r="L81" s="52"/>
      <c r="M81" s="52"/>
      <c r="N81" s="52"/>
      <c r="O81" s="52"/>
      <c r="P81" s="52"/>
      <c r="Q81" s="52"/>
      <c r="R81" s="52"/>
      <c r="S81" s="52"/>
      <c r="T81" s="52"/>
      <c r="U81" s="52"/>
      <c r="V81" s="52"/>
      <c r="W81" s="52"/>
      <c r="X81" s="52"/>
      <c r="Y81" s="47"/>
      <c r="Z81" s="47"/>
      <c r="AA81" s="47"/>
      <c r="AB81" s="52"/>
      <c r="AC81" s="47"/>
      <c r="AD81" s="47"/>
      <c r="AE81" s="47"/>
      <c r="AF81" s="47"/>
      <c r="AG81" s="47"/>
      <c r="AH81" s="47"/>
      <c r="AI81" s="47"/>
      <c r="AJ81" s="47"/>
      <c r="AK81" s="47"/>
      <c r="AL81" s="47"/>
      <c r="AM81" s="47"/>
      <c r="AN81" s="47"/>
      <c r="AO81" s="52"/>
      <c r="AP81" s="52"/>
      <c r="AQ81" s="52"/>
      <c r="AR81" s="47"/>
      <c r="AS81" s="47"/>
      <c r="AT81" s="47"/>
      <c r="AU81" s="47"/>
      <c r="AV81" s="47"/>
      <c r="AW81" s="52"/>
      <c r="AX81" s="52"/>
      <c r="AY81" s="52"/>
      <c r="AZ81" s="52"/>
      <c r="BA81" s="47"/>
      <c r="BB81" s="47"/>
      <c r="BC81" s="47"/>
      <c r="BD81" s="47"/>
      <c r="BE81" s="52"/>
      <c r="BF81" s="47"/>
      <c r="BG81" s="52"/>
      <c r="BH81" s="52"/>
      <c r="BI81" s="52"/>
      <c r="BJ81" s="52"/>
      <c r="BK81" s="47"/>
      <c r="BL81" s="47"/>
      <c r="BM81" s="47"/>
      <c r="BN81" s="47"/>
      <c r="BO81" s="47"/>
      <c r="BP81" s="52"/>
      <c r="BQ81" s="52"/>
      <c r="BR81" s="47"/>
      <c r="BS81" s="52"/>
      <c r="BT81" s="52"/>
      <c r="BU81" s="52"/>
      <c r="BV81" s="52"/>
      <c r="BW81" s="52"/>
      <c r="BX81" s="47"/>
      <c r="BY81" s="47"/>
      <c r="BZ81" s="47"/>
      <c r="CA81" s="47"/>
      <c r="CB81" s="52"/>
      <c r="CC81" s="52"/>
      <c r="CD81" s="52"/>
    </row>
    <row r="82" spans="1:82" x14ac:dyDescent="0.25">
      <c r="A82" s="120" t="s">
        <v>212</v>
      </c>
      <c r="B82" s="54"/>
      <c r="C82" s="54" t="s">
        <v>121</v>
      </c>
      <c r="D82" s="55">
        <f>MIN(E82:BC82)</f>
        <v>0.16</v>
      </c>
      <c r="E82" s="52">
        <v>30</v>
      </c>
      <c r="F82" s="52">
        <v>0.25</v>
      </c>
      <c r="G82" s="52">
        <v>1</v>
      </c>
      <c r="H82" s="52">
        <v>1</v>
      </c>
      <c r="I82" s="52">
        <v>1</v>
      </c>
      <c r="J82" s="52"/>
      <c r="K82" s="52">
        <v>1</v>
      </c>
      <c r="L82" s="52">
        <v>1</v>
      </c>
      <c r="M82" s="52">
        <v>1</v>
      </c>
      <c r="N82" s="52">
        <v>1</v>
      </c>
      <c r="O82" s="52">
        <v>30</v>
      </c>
      <c r="P82" s="52">
        <v>30</v>
      </c>
      <c r="Q82" s="52">
        <v>30</v>
      </c>
      <c r="R82" s="52">
        <v>30</v>
      </c>
      <c r="S82" s="52">
        <v>30</v>
      </c>
      <c r="T82" s="52">
        <v>3</v>
      </c>
      <c r="U82" s="52">
        <v>3</v>
      </c>
      <c r="V82" s="52">
        <v>30</v>
      </c>
      <c r="W82" s="52">
        <v>0.25</v>
      </c>
      <c r="X82" s="52">
        <v>1</v>
      </c>
      <c r="Y82" s="52">
        <v>3</v>
      </c>
      <c r="Z82" s="47"/>
      <c r="AA82" s="47">
        <v>30</v>
      </c>
      <c r="AB82" s="52"/>
      <c r="AC82" s="47"/>
      <c r="AD82" s="47"/>
      <c r="AE82" s="47">
        <v>0.16</v>
      </c>
      <c r="AF82" s="47">
        <v>30</v>
      </c>
      <c r="AG82" s="47">
        <v>30</v>
      </c>
      <c r="AH82" s="47">
        <v>30</v>
      </c>
      <c r="AI82" s="47">
        <v>1</v>
      </c>
      <c r="AJ82" s="47">
        <v>5</v>
      </c>
      <c r="AK82" s="47">
        <v>10</v>
      </c>
      <c r="AL82" s="47">
        <v>3</v>
      </c>
      <c r="AM82" s="47">
        <v>10</v>
      </c>
      <c r="AN82" s="47">
        <v>3</v>
      </c>
      <c r="AO82" s="52">
        <v>30</v>
      </c>
      <c r="AP82" s="52">
        <v>10</v>
      </c>
      <c r="AQ82" s="52">
        <v>30</v>
      </c>
      <c r="AR82" s="52">
        <v>30</v>
      </c>
      <c r="AS82" s="52">
        <v>30</v>
      </c>
      <c r="AT82" s="52">
        <v>30</v>
      </c>
      <c r="AU82" s="47">
        <v>2</v>
      </c>
      <c r="AV82" s="47"/>
      <c r="AW82" s="52">
        <v>14</v>
      </c>
      <c r="AX82" s="52">
        <v>14</v>
      </c>
      <c r="AY82" s="52">
        <v>90</v>
      </c>
      <c r="AZ82" s="52">
        <v>90</v>
      </c>
      <c r="BA82" s="52">
        <v>90</v>
      </c>
      <c r="BB82" s="52">
        <v>90</v>
      </c>
      <c r="BC82" s="52">
        <v>90</v>
      </c>
      <c r="BD82" s="52">
        <v>90</v>
      </c>
      <c r="BE82" s="52">
        <v>30</v>
      </c>
      <c r="BF82" s="47"/>
      <c r="BG82" s="52">
        <v>14</v>
      </c>
      <c r="BH82" s="52">
        <v>14</v>
      </c>
      <c r="BI82" s="52">
        <v>90</v>
      </c>
      <c r="BJ82" s="52">
        <v>90</v>
      </c>
      <c r="BK82" s="52">
        <v>90</v>
      </c>
      <c r="BL82" s="52">
        <v>90</v>
      </c>
      <c r="BM82" s="52">
        <v>90</v>
      </c>
      <c r="BN82" s="52">
        <v>90</v>
      </c>
      <c r="BO82" s="52">
        <v>90</v>
      </c>
      <c r="BP82" s="52">
        <v>30</v>
      </c>
      <c r="BQ82" s="52">
        <v>30</v>
      </c>
      <c r="BR82" s="47"/>
      <c r="BS82" s="52">
        <v>14</v>
      </c>
      <c r="BT82" s="52">
        <v>14</v>
      </c>
      <c r="BU82" s="52">
        <v>14</v>
      </c>
      <c r="BV82" s="52">
        <v>90</v>
      </c>
      <c r="BW82" s="52">
        <v>90</v>
      </c>
      <c r="BX82" s="52">
        <v>90</v>
      </c>
      <c r="BY82" s="52">
        <v>90</v>
      </c>
      <c r="BZ82" s="52">
        <v>90</v>
      </c>
      <c r="CA82" s="52">
        <v>90</v>
      </c>
      <c r="CB82" s="52">
        <v>30</v>
      </c>
      <c r="CC82" s="52">
        <v>30</v>
      </c>
      <c r="CD82" s="52">
        <v>30</v>
      </c>
    </row>
    <row r="83" spans="1:82" x14ac:dyDescent="0.25">
      <c r="A83" s="120" t="s">
        <v>219</v>
      </c>
      <c r="B83" s="54"/>
      <c r="C83" s="54" t="s">
        <v>121</v>
      </c>
      <c r="D83" s="55">
        <f>MIN(E83:BC83)</f>
        <v>1</v>
      </c>
      <c r="E83" s="52"/>
      <c r="F83" s="52"/>
      <c r="G83" s="52"/>
      <c r="H83" s="52"/>
      <c r="I83" s="52"/>
      <c r="J83" s="52"/>
      <c r="K83" s="52">
        <v>1</v>
      </c>
      <c r="L83" s="52">
        <v>1</v>
      </c>
      <c r="M83" s="52"/>
      <c r="N83" s="52"/>
      <c r="O83" s="52"/>
      <c r="P83" s="52"/>
      <c r="Q83" s="52"/>
      <c r="R83" s="52"/>
      <c r="S83" s="52"/>
      <c r="T83" s="52"/>
      <c r="U83" s="52"/>
      <c r="V83" s="52"/>
      <c r="W83" s="52"/>
      <c r="X83" s="52"/>
      <c r="Y83" s="52">
        <v>3</v>
      </c>
      <c r="Z83" s="47"/>
      <c r="AA83" s="47"/>
      <c r="AB83" s="52"/>
      <c r="AC83" s="47"/>
      <c r="AD83" s="47"/>
      <c r="AE83" s="47"/>
      <c r="AF83" s="47"/>
      <c r="AG83" s="47"/>
      <c r="AH83" s="47"/>
      <c r="AI83" s="47"/>
      <c r="AJ83" s="47"/>
      <c r="AK83" s="47"/>
      <c r="AL83" s="47"/>
      <c r="AM83" s="47"/>
      <c r="AN83" s="47"/>
      <c r="AO83" s="52"/>
      <c r="AP83" s="52"/>
      <c r="AQ83" s="52"/>
      <c r="AR83" s="47"/>
      <c r="AS83" s="47"/>
      <c r="AT83" s="47"/>
      <c r="AU83" s="47"/>
      <c r="AV83" s="47"/>
      <c r="AW83" s="52"/>
      <c r="AX83" s="52"/>
      <c r="AY83" s="52"/>
      <c r="AZ83" s="52"/>
      <c r="BA83" s="47"/>
      <c r="BB83" s="47"/>
      <c r="BC83" s="47"/>
      <c r="BD83" s="47"/>
      <c r="BE83" s="52"/>
      <c r="BF83" s="47"/>
      <c r="BG83" s="52"/>
      <c r="BH83" s="52"/>
      <c r="BI83" s="52"/>
      <c r="BJ83" s="52"/>
      <c r="BK83" s="47"/>
      <c r="BL83" s="47"/>
      <c r="BM83" s="47"/>
      <c r="BN83" s="47"/>
      <c r="BO83" s="47"/>
      <c r="BP83" s="52"/>
      <c r="BQ83" s="52"/>
      <c r="BR83" s="47"/>
      <c r="BS83" s="52"/>
      <c r="BT83" s="52"/>
      <c r="BU83" s="52"/>
      <c r="BV83" s="52"/>
      <c r="BW83" s="52"/>
      <c r="BX83" s="47"/>
      <c r="BY83" s="47"/>
      <c r="BZ83" s="47"/>
      <c r="CA83" s="47"/>
      <c r="CB83" s="52"/>
      <c r="CC83" s="52"/>
      <c r="CD83" s="52"/>
    </row>
    <row r="84" spans="1:82" x14ac:dyDescent="0.25">
      <c r="A84" s="120" t="s">
        <v>758</v>
      </c>
      <c r="B84" s="54"/>
      <c r="C84" s="54"/>
      <c r="D84" s="55"/>
      <c r="E84" s="52"/>
      <c r="F84" s="52"/>
      <c r="G84" s="52"/>
      <c r="H84" s="52"/>
      <c r="I84" s="52"/>
      <c r="J84" s="52"/>
      <c r="K84" s="52"/>
      <c r="L84" s="52"/>
      <c r="M84" s="52"/>
      <c r="N84" s="52"/>
      <c r="O84" s="52"/>
      <c r="P84" s="52"/>
      <c r="Q84" s="52"/>
      <c r="R84" s="52"/>
      <c r="S84" s="52"/>
      <c r="T84" s="52"/>
      <c r="U84" s="52"/>
      <c r="V84" s="52"/>
      <c r="W84" s="52"/>
      <c r="X84" s="52"/>
      <c r="Y84" s="47"/>
      <c r="Z84" s="47"/>
      <c r="AA84" s="47"/>
      <c r="AB84" s="52"/>
      <c r="AC84" s="47"/>
      <c r="AD84" s="47"/>
      <c r="AE84" s="47"/>
      <c r="AF84" s="47"/>
      <c r="AG84" s="47"/>
      <c r="AH84" s="47"/>
      <c r="AI84" s="47"/>
      <c r="AJ84" s="47"/>
      <c r="AK84" s="47"/>
      <c r="AL84" s="47"/>
      <c r="AM84" s="47"/>
      <c r="AN84" s="47"/>
      <c r="AO84" s="52"/>
      <c r="AP84" s="52"/>
      <c r="AQ84" s="52"/>
      <c r="AR84" s="47"/>
      <c r="AS84" s="47"/>
      <c r="AT84" s="47"/>
      <c r="AU84" s="47"/>
      <c r="AV84" s="47"/>
      <c r="AW84" s="52"/>
      <c r="AX84" s="52"/>
      <c r="AY84" s="52"/>
      <c r="AZ84" s="52"/>
      <c r="BA84" s="47"/>
      <c r="BB84" s="47"/>
      <c r="BC84" s="47"/>
      <c r="BD84" s="47"/>
      <c r="BE84" s="52"/>
      <c r="BF84" s="47"/>
      <c r="BG84" s="52"/>
      <c r="BH84" s="52"/>
      <c r="BI84" s="52"/>
      <c r="BJ84" s="52"/>
      <c r="BK84" s="47"/>
      <c r="BL84" s="47"/>
      <c r="BM84" s="47"/>
      <c r="BN84" s="47"/>
      <c r="BO84" s="47"/>
      <c r="BP84" s="52"/>
      <c r="BQ84" s="52"/>
      <c r="BR84" s="47"/>
      <c r="BS84" s="52"/>
      <c r="BT84" s="52"/>
      <c r="BU84" s="52"/>
      <c r="BV84" s="52"/>
      <c r="BW84" s="52"/>
      <c r="BX84" s="47"/>
      <c r="BY84" s="47"/>
      <c r="BZ84" s="47"/>
      <c r="CA84" s="47"/>
      <c r="CB84" s="52"/>
      <c r="CC84" s="52"/>
      <c r="CD84" s="52"/>
    </row>
    <row r="85" spans="1:82" ht="26.4" x14ac:dyDescent="0.25">
      <c r="A85" s="120" t="s">
        <v>226</v>
      </c>
      <c r="B85" s="54" t="s">
        <v>720</v>
      </c>
      <c r="C85" s="54" t="s">
        <v>121</v>
      </c>
      <c r="D85" s="55">
        <f>MIN(E85:BC85)</f>
        <v>30</v>
      </c>
      <c r="E85" s="52">
        <v>30</v>
      </c>
      <c r="F85" s="52"/>
      <c r="G85" s="52"/>
      <c r="H85" s="52"/>
      <c r="I85" s="52"/>
      <c r="J85" s="52"/>
      <c r="K85" s="52"/>
      <c r="L85" s="52"/>
      <c r="M85" s="52"/>
      <c r="N85" s="52"/>
      <c r="O85" s="52"/>
      <c r="P85" s="52"/>
      <c r="Q85" s="52"/>
      <c r="R85" s="52"/>
      <c r="S85" s="52"/>
      <c r="T85" s="52"/>
      <c r="U85" s="52"/>
      <c r="V85" s="52">
        <v>30</v>
      </c>
      <c r="W85" s="52"/>
      <c r="X85" s="52"/>
      <c r="Y85" s="47"/>
      <c r="Z85" s="47"/>
      <c r="AA85" s="47"/>
      <c r="AB85" s="52"/>
      <c r="AC85" s="47"/>
      <c r="AD85" s="47"/>
      <c r="AE85" s="47"/>
      <c r="AF85" s="47"/>
      <c r="AG85" s="47"/>
      <c r="AH85" s="47"/>
      <c r="AI85" s="47"/>
      <c r="AJ85" s="47"/>
      <c r="AK85" s="47"/>
      <c r="AL85" s="47"/>
      <c r="AM85" s="47"/>
      <c r="AN85" s="47" t="s">
        <v>83</v>
      </c>
      <c r="AO85" s="52"/>
      <c r="AP85" s="52"/>
      <c r="AQ85" s="52"/>
      <c r="AR85" s="47"/>
      <c r="AS85" s="47"/>
      <c r="AT85" s="47"/>
      <c r="AU85" s="47"/>
      <c r="AV85" s="47"/>
      <c r="AW85" s="52"/>
      <c r="AX85" s="52"/>
      <c r="AY85" s="52"/>
      <c r="AZ85" s="52"/>
      <c r="BA85" s="47"/>
      <c r="BB85" s="47"/>
      <c r="BC85" s="47"/>
      <c r="BD85" s="47"/>
      <c r="BE85" s="52"/>
      <c r="BF85" s="47"/>
      <c r="BG85" s="52"/>
      <c r="BH85" s="52"/>
      <c r="BI85" s="52"/>
      <c r="BJ85" s="52"/>
      <c r="BK85" s="47"/>
      <c r="BL85" s="47"/>
      <c r="BM85" s="47"/>
      <c r="BN85" s="47"/>
      <c r="BO85" s="47"/>
      <c r="BP85" s="52"/>
      <c r="BQ85" s="52"/>
      <c r="BR85" s="47"/>
      <c r="BS85" s="52"/>
      <c r="BT85" s="52"/>
      <c r="BU85" s="52"/>
      <c r="BV85" s="52"/>
      <c r="BW85" s="52"/>
      <c r="BX85" s="47"/>
      <c r="BY85" s="47"/>
      <c r="BZ85" s="47"/>
      <c r="CA85" s="47"/>
      <c r="CB85" s="52"/>
      <c r="CC85" s="52"/>
      <c r="CD85" s="52"/>
    </row>
    <row r="86" spans="1:82" x14ac:dyDescent="0.25">
      <c r="A86" s="120" t="s">
        <v>227</v>
      </c>
      <c r="B86" s="54" t="s">
        <v>719</v>
      </c>
      <c r="C86" s="54" t="s">
        <v>121</v>
      </c>
      <c r="D86" s="55">
        <f>MIN(E86:BC86)</f>
        <v>30</v>
      </c>
      <c r="E86" s="52">
        <v>30</v>
      </c>
      <c r="F86" s="52"/>
      <c r="G86" s="52"/>
      <c r="H86" s="52"/>
      <c r="I86" s="52"/>
      <c r="J86" s="52"/>
      <c r="K86" s="52"/>
      <c r="L86" s="52"/>
      <c r="M86" s="52"/>
      <c r="N86" s="52"/>
      <c r="O86" s="52"/>
      <c r="P86" s="52"/>
      <c r="Q86" s="52"/>
      <c r="R86" s="52"/>
      <c r="S86" s="52"/>
      <c r="T86" s="52"/>
      <c r="U86" s="52"/>
      <c r="V86" s="52">
        <v>30</v>
      </c>
      <c r="W86" s="52"/>
      <c r="X86" s="52"/>
      <c r="Y86" s="47"/>
      <c r="Z86" s="47"/>
      <c r="AA86" s="47"/>
      <c r="AB86" s="52"/>
      <c r="AC86" s="47"/>
      <c r="AD86" s="47"/>
      <c r="AE86" s="47"/>
      <c r="AF86" s="47"/>
      <c r="AG86" s="47"/>
      <c r="AH86" s="47"/>
      <c r="AI86" s="47"/>
      <c r="AJ86" s="47"/>
      <c r="AK86" s="47"/>
      <c r="AL86" s="47"/>
      <c r="AM86" s="47"/>
      <c r="AN86" s="47"/>
      <c r="AO86" s="52"/>
      <c r="AP86" s="52"/>
      <c r="AQ86" s="52"/>
      <c r="AR86" s="47"/>
      <c r="AS86" s="47"/>
      <c r="AT86" s="47"/>
      <c r="AU86" s="47"/>
      <c r="AV86" s="47"/>
      <c r="AW86" s="52"/>
      <c r="AX86" s="52"/>
      <c r="AY86" s="52"/>
      <c r="AZ86" s="52"/>
      <c r="BA86" s="47"/>
      <c r="BB86" s="47"/>
      <c r="BC86" s="47"/>
      <c r="BD86" s="47"/>
      <c r="BE86" s="52"/>
      <c r="BF86" s="47"/>
      <c r="BG86" s="52"/>
      <c r="BH86" s="52"/>
      <c r="BI86" s="52"/>
      <c r="BJ86" s="52"/>
      <c r="BK86" s="47"/>
      <c r="BL86" s="47"/>
      <c r="BM86" s="47"/>
      <c r="BN86" s="47"/>
      <c r="BO86" s="47"/>
      <c r="BP86" s="52"/>
      <c r="BQ86" s="52"/>
      <c r="BR86" s="47"/>
      <c r="BS86" s="52"/>
      <c r="BT86" s="52"/>
      <c r="BU86" s="52"/>
      <c r="BV86" s="52"/>
      <c r="BW86" s="52"/>
      <c r="BX86" s="47"/>
      <c r="BY86" s="47"/>
      <c r="BZ86" s="47"/>
      <c r="CA86" s="47"/>
      <c r="CB86" s="52"/>
      <c r="CC86" s="52"/>
      <c r="CD86" s="52"/>
    </row>
    <row r="87" spans="1:82" x14ac:dyDescent="0.25">
      <c r="A87" s="120" t="s">
        <v>759</v>
      </c>
      <c r="B87" s="54"/>
      <c r="C87" s="54"/>
      <c r="D87" s="55"/>
      <c r="E87" s="52"/>
      <c r="F87" s="52"/>
      <c r="G87" s="52"/>
      <c r="H87" s="52"/>
      <c r="I87" s="52"/>
      <c r="J87" s="52"/>
      <c r="K87" s="52"/>
      <c r="L87" s="52"/>
      <c r="M87" s="52"/>
      <c r="N87" s="52"/>
      <c r="O87" s="52"/>
      <c r="P87" s="52"/>
      <c r="Q87" s="52"/>
      <c r="R87" s="52"/>
      <c r="S87" s="52"/>
      <c r="T87" s="52"/>
      <c r="U87" s="52"/>
      <c r="V87" s="52"/>
      <c r="W87" s="52"/>
      <c r="X87" s="52"/>
      <c r="Y87" s="47"/>
      <c r="Z87" s="47"/>
      <c r="AA87" s="47"/>
      <c r="AB87" s="52"/>
      <c r="AC87" s="47"/>
      <c r="AD87" s="47"/>
      <c r="AE87" s="47"/>
      <c r="AF87" s="47"/>
      <c r="AG87" s="47"/>
      <c r="AH87" s="47"/>
      <c r="AI87" s="47"/>
      <c r="AJ87" s="47"/>
      <c r="AK87" s="47"/>
      <c r="AL87" s="47"/>
      <c r="AM87" s="47"/>
      <c r="AN87" s="47"/>
      <c r="AO87" s="52"/>
      <c r="AP87" s="52"/>
      <c r="AQ87" s="52"/>
      <c r="AR87" s="47"/>
      <c r="AS87" s="47"/>
      <c r="AT87" s="47"/>
      <c r="AU87" s="47"/>
      <c r="AV87" s="47"/>
      <c r="AW87" s="52"/>
      <c r="AX87" s="52"/>
      <c r="AY87" s="52"/>
      <c r="AZ87" s="52"/>
      <c r="BA87" s="47"/>
      <c r="BB87" s="47"/>
      <c r="BC87" s="47"/>
      <c r="BD87" s="47"/>
      <c r="BE87" s="52"/>
      <c r="BF87" s="47"/>
      <c r="BG87" s="52"/>
      <c r="BH87" s="52"/>
      <c r="BI87" s="52"/>
      <c r="BJ87" s="52"/>
      <c r="BK87" s="47"/>
      <c r="BL87" s="47"/>
      <c r="BM87" s="47"/>
      <c r="BN87" s="47"/>
      <c r="BO87" s="47"/>
      <c r="BP87" s="52"/>
      <c r="BQ87" s="52"/>
      <c r="BR87" s="47"/>
      <c r="BS87" s="52"/>
      <c r="BT87" s="52"/>
      <c r="BU87" s="52"/>
      <c r="BV87" s="52"/>
      <c r="BW87" s="52"/>
      <c r="BX87" s="47"/>
      <c r="BY87" s="47"/>
      <c r="BZ87" s="47"/>
      <c r="CA87" s="47"/>
      <c r="CB87" s="52"/>
      <c r="CC87" s="52"/>
      <c r="CD87" s="52"/>
    </row>
    <row r="88" spans="1:82" ht="12.75" customHeight="1" x14ac:dyDescent="0.25">
      <c r="A88" s="53" t="s">
        <v>481</v>
      </c>
      <c r="B88" s="54"/>
      <c r="C88" s="54" t="s">
        <v>121</v>
      </c>
      <c r="D88" s="55">
        <f>MIN(E88:BC88)</f>
        <v>1</v>
      </c>
      <c r="E88" s="52"/>
      <c r="F88" s="52"/>
      <c r="G88" s="52"/>
      <c r="H88" s="52"/>
      <c r="I88" s="52"/>
      <c r="J88" s="52"/>
      <c r="K88" s="52"/>
      <c r="L88" s="52"/>
      <c r="M88" s="52"/>
      <c r="N88" s="52"/>
      <c r="O88" s="52"/>
      <c r="P88" s="52"/>
      <c r="Q88" s="52"/>
      <c r="R88" s="52"/>
      <c r="S88" s="52"/>
      <c r="T88" s="52">
        <v>3</v>
      </c>
      <c r="U88" s="52"/>
      <c r="V88" s="52"/>
      <c r="W88" s="52"/>
      <c r="X88" s="52"/>
      <c r="Y88" s="47" t="s">
        <v>83</v>
      </c>
      <c r="Z88" s="47"/>
      <c r="AA88" s="47"/>
      <c r="AB88" s="52">
        <v>1</v>
      </c>
      <c r="AC88" s="47">
        <v>1</v>
      </c>
      <c r="AD88" s="47"/>
      <c r="AE88" s="47"/>
      <c r="AF88" s="47" t="s">
        <v>83</v>
      </c>
      <c r="AG88" s="47"/>
      <c r="AH88" s="47"/>
      <c r="AI88" s="47"/>
      <c r="AJ88" s="47"/>
      <c r="AK88" s="47"/>
      <c r="AL88" s="47"/>
      <c r="AM88" s="47"/>
      <c r="AN88" s="47"/>
      <c r="AO88" s="52"/>
      <c r="AP88" s="52"/>
      <c r="AQ88" s="52"/>
      <c r="AR88" s="47"/>
      <c r="AS88" s="47"/>
      <c r="AT88" s="47"/>
      <c r="AU88" s="47"/>
      <c r="AV88" s="47"/>
      <c r="AW88" s="52"/>
      <c r="AX88" s="52"/>
      <c r="AY88" s="52">
        <v>90</v>
      </c>
      <c r="AZ88" s="52"/>
      <c r="BA88" s="52">
        <v>90</v>
      </c>
      <c r="BB88" s="52">
        <v>90</v>
      </c>
      <c r="BC88" s="52">
        <v>90</v>
      </c>
      <c r="BD88" s="52">
        <v>90</v>
      </c>
      <c r="BE88" s="52"/>
      <c r="BF88" s="47"/>
      <c r="BG88" s="52"/>
      <c r="BH88" s="52"/>
      <c r="BI88" s="52">
        <v>90</v>
      </c>
      <c r="BJ88" s="52"/>
      <c r="BK88" s="52">
        <v>90</v>
      </c>
      <c r="BL88" s="52">
        <v>90</v>
      </c>
      <c r="BM88" s="52">
        <v>90</v>
      </c>
      <c r="BN88" s="52">
        <v>90</v>
      </c>
      <c r="BO88" s="52">
        <v>90</v>
      </c>
      <c r="BP88" s="52"/>
      <c r="BQ88" s="52"/>
      <c r="BR88" s="47"/>
      <c r="BS88" s="52"/>
      <c r="BT88" s="52"/>
      <c r="BU88" s="52"/>
      <c r="BV88" s="52">
        <v>90</v>
      </c>
      <c r="BW88" s="52"/>
      <c r="BX88" s="52">
        <v>90</v>
      </c>
      <c r="BY88" s="52">
        <v>90</v>
      </c>
      <c r="BZ88" s="52">
        <v>90</v>
      </c>
      <c r="CA88" s="52">
        <v>90</v>
      </c>
      <c r="CB88" s="52"/>
      <c r="CC88" s="52"/>
      <c r="CD88" s="52"/>
    </row>
    <row r="89" spans="1:82" ht="12.75" customHeight="1" x14ac:dyDescent="0.25">
      <c r="A89" s="53" t="s">
        <v>743</v>
      </c>
      <c r="B89" s="54"/>
      <c r="C89" s="54"/>
      <c r="D89" s="55"/>
      <c r="E89" s="52"/>
      <c r="F89" s="52"/>
      <c r="G89" s="52"/>
      <c r="H89" s="52"/>
      <c r="I89" s="52"/>
      <c r="J89" s="52"/>
      <c r="K89" s="52"/>
      <c r="L89" s="52"/>
      <c r="M89" s="52"/>
      <c r="N89" s="52"/>
      <c r="O89" s="52"/>
      <c r="P89" s="52"/>
      <c r="Q89" s="52"/>
      <c r="R89" s="52"/>
      <c r="S89" s="52"/>
      <c r="T89" s="52"/>
      <c r="U89" s="52"/>
      <c r="V89" s="52"/>
      <c r="W89" s="52"/>
      <c r="X89" s="52"/>
      <c r="Y89" s="47"/>
      <c r="Z89" s="47"/>
      <c r="AA89" s="47"/>
      <c r="AB89" s="52"/>
      <c r="AC89" s="47"/>
      <c r="AD89" s="47"/>
      <c r="AE89" s="47"/>
      <c r="AF89" s="47"/>
      <c r="AG89" s="47"/>
      <c r="AH89" s="47"/>
      <c r="AI89" s="47"/>
      <c r="AJ89" s="47"/>
      <c r="AK89" s="47"/>
      <c r="AL89" s="47"/>
      <c r="AM89" s="47"/>
      <c r="AN89" s="47"/>
      <c r="AO89" s="52"/>
      <c r="AP89" s="52"/>
      <c r="AQ89" s="52"/>
      <c r="AR89" s="47"/>
      <c r="AS89" s="47"/>
      <c r="AT89" s="47"/>
      <c r="AU89" s="47"/>
      <c r="AV89" s="47"/>
      <c r="AW89" s="52"/>
      <c r="AX89" s="52"/>
      <c r="AY89" s="52"/>
      <c r="AZ89" s="52"/>
      <c r="BA89" s="47"/>
      <c r="BB89" s="47"/>
      <c r="BC89" s="47"/>
      <c r="BD89" s="47"/>
      <c r="BE89" s="52"/>
      <c r="BF89" s="47"/>
      <c r="BG89" s="52"/>
      <c r="BH89" s="52"/>
      <c r="BI89" s="52"/>
      <c r="BJ89" s="52"/>
      <c r="BK89" s="47"/>
      <c r="BL89" s="47"/>
      <c r="BM89" s="47"/>
      <c r="BN89" s="47"/>
      <c r="BO89" s="47"/>
      <c r="BP89" s="52"/>
      <c r="BQ89" s="52"/>
      <c r="BR89" s="47"/>
      <c r="BS89" s="52"/>
      <c r="BT89" s="52"/>
      <c r="BU89" s="52"/>
      <c r="BV89" s="52"/>
      <c r="BW89" s="52"/>
      <c r="BX89" s="47"/>
      <c r="BY89" s="47"/>
      <c r="BZ89" s="47"/>
      <c r="CA89" s="47"/>
      <c r="CB89" s="52"/>
      <c r="CC89" s="52"/>
      <c r="CD89" s="52"/>
    </row>
    <row r="90" spans="1:82" ht="12.75" customHeight="1" x14ac:dyDescent="0.25">
      <c r="A90" s="53" t="s">
        <v>733</v>
      </c>
      <c r="B90" s="54"/>
      <c r="C90" s="54"/>
      <c r="D90" s="55"/>
      <c r="E90" s="52"/>
      <c r="F90" s="52"/>
      <c r="G90" s="52"/>
      <c r="H90" s="52"/>
      <c r="I90" s="52"/>
      <c r="J90" s="52"/>
      <c r="K90" s="52"/>
      <c r="L90" s="52"/>
      <c r="M90" s="52"/>
      <c r="N90" s="52"/>
      <c r="O90" s="52"/>
      <c r="P90" s="52"/>
      <c r="Q90" s="52"/>
      <c r="R90" s="52"/>
      <c r="S90" s="52"/>
      <c r="T90" s="52"/>
      <c r="U90" s="52"/>
      <c r="V90" s="52"/>
      <c r="W90" s="52"/>
      <c r="X90" s="52"/>
      <c r="Y90" s="52"/>
      <c r="Z90" s="47"/>
      <c r="AA90" s="47"/>
      <c r="AB90" s="52"/>
      <c r="AC90" s="47"/>
      <c r="AD90" s="47"/>
      <c r="AE90" s="47"/>
      <c r="AF90" s="47"/>
      <c r="AG90" s="47"/>
      <c r="AH90" s="47"/>
      <c r="AI90" s="47"/>
      <c r="AJ90" s="47"/>
      <c r="AK90" s="47"/>
      <c r="AL90" s="47"/>
      <c r="AM90" s="47"/>
      <c r="AN90" s="47"/>
      <c r="AO90" s="52"/>
      <c r="AP90" s="52"/>
      <c r="AQ90" s="52"/>
      <c r="AR90" s="47"/>
      <c r="AS90" s="47"/>
      <c r="AT90" s="47"/>
      <c r="AU90" s="47"/>
      <c r="AV90" s="47"/>
      <c r="AW90" s="52"/>
      <c r="AX90" s="52"/>
      <c r="AY90" s="52"/>
      <c r="AZ90" s="52"/>
      <c r="BA90" s="47"/>
      <c r="BB90" s="47"/>
      <c r="BC90" s="47"/>
      <c r="BD90" s="47"/>
      <c r="BE90" s="52"/>
      <c r="BF90" s="47"/>
      <c r="BG90" s="52"/>
      <c r="BH90" s="52"/>
      <c r="BI90" s="52"/>
      <c r="BJ90" s="52"/>
      <c r="BK90" s="47"/>
      <c r="BL90" s="47"/>
      <c r="BM90" s="47"/>
      <c r="BN90" s="47"/>
      <c r="BO90" s="47"/>
      <c r="BP90" s="52"/>
      <c r="BQ90" s="52"/>
      <c r="BR90" s="47"/>
      <c r="BS90" s="52"/>
      <c r="BT90" s="52"/>
      <c r="BU90" s="52"/>
      <c r="BV90" s="52"/>
      <c r="BW90" s="52"/>
      <c r="BX90" s="47"/>
      <c r="BY90" s="47"/>
      <c r="BZ90" s="47"/>
      <c r="CA90" s="47"/>
      <c r="CB90" s="52"/>
      <c r="CC90" s="52"/>
      <c r="CD90" s="52"/>
    </row>
    <row r="91" spans="1:82" ht="12.75" customHeight="1" x14ac:dyDescent="0.25">
      <c r="A91" s="53" t="s">
        <v>745</v>
      </c>
      <c r="B91" s="54"/>
      <c r="C91" s="54"/>
      <c r="D91" s="55"/>
      <c r="E91" s="52"/>
      <c r="F91" s="52"/>
      <c r="G91" s="52"/>
      <c r="H91" s="52"/>
      <c r="I91" s="52"/>
      <c r="J91" s="52"/>
      <c r="K91" s="52"/>
      <c r="L91" s="52"/>
      <c r="M91" s="52"/>
      <c r="N91" s="52"/>
      <c r="O91" s="52"/>
      <c r="P91" s="52"/>
      <c r="Q91" s="52"/>
      <c r="R91" s="52"/>
      <c r="S91" s="52"/>
      <c r="T91" s="52"/>
      <c r="U91" s="52"/>
      <c r="V91" s="52"/>
      <c r="W91" s="52"/>
      <c r="X91" s="52"/>
      <c r="Y91" s="47"/>
      <c r="Z91" s="47"/>
      <c r="AA91" s="47"/>
      <c r="AB91" s="52"/>
      <c r="AC91" s="47"/>
      <c r="AD91" s="47"/>
      <c r="AE91" s="47"/>
      <c r="AF91" s="47"/>
      <c r="AG91" s="47"/>
      <c r="AH91" s="47"/>
      <c r="AI91" s="47"/>
      <c r="AJ91" s="47"/>
      <c r="AK91" s="47"/>
      <c r="AL91" s="47"/>
      <c r="AM91" s="47"/>
      <c r="AN91" s="47"/>
      <c r="AO91" s="52"/>
      <c r="AP91" s="52"/>
      <c r="AQ91" s="52"/>
      <c r="AR91" s="47"/>
      <c r="AS91" s="47"/>
      <c r="AT91" s="47"/>
      <c r="AU91" s="47"/>
      <c r="AV91" s="47"/>
      <c r="AW91" s="52"/>
      <c r="AX91" s="52"/>
      <c r="AY91" s="52"/>
      <c r="AZ91" s="52"/>
      <c r="BA91" s="47"/>
      <c r="BB91" s="47"/>
      <c r="BC91" s="47"/>
      <c r="BD91" s="47"/>
      <c r="BE91" s="52"/>
      <c r="BF91" s="47"/>
      <c r="BG91" s="52"/>
      <c r="BH91" s="52"/>
      <c r="BI91" s="52"/>
      <c r="BJ91" s="52"/>
      <c r="BK91" s="47"/>
      <c r="BL91" s="47"/>
      <c r="BM91" s="47"/>
      <c r="BN91" s="47"/>
      <c r="BO91" s="47"/>
      <c r="BP91" s="52"/>
      <c r="BQ91" s="52"/>
      <c r="BR91" s="47"/>
      <c r="BS91" s="52"/>
      <c r="BT91" s="52"/>
      <c r="BU91" s="52"/>
      <c r="BV91" s="52"/>
      <c r="BW91" s="52"/>
      <c r="BX91" s="47"/>
      <c r="BY91" s="47"/>
      <c r="BZ91" s="47"/>
      <c r="CA91" s="47"/>
      <c r="CB91" s="52"/>
      <c r="CC91" s="52"/>
      <c r="CD91" s="52"/>
    </row>
    <row r="92" spans="1:82" ht="26.4" x14ac:dyDescent="0.25">
      <c r="A92" s="53" t="s">
        <v>761</v>
      </c>
      <c r="B92" s="54"/>
      <c r="C92" s="54" t="s">
        <v>121</v>
      </c>
      <c r="D92" s="55">
        <f>MIN(E92:BC92)</f>
        <v>1</v>
      </c>
      <c r="E92" s="52"/>
      <c r="F92" s="52"/>
      <c r="G92" s="52">
        <v>1</v>
      </c>
      <c r="H92" s="52">
        <v>1</v>
      </c>
      <c r="I92" s="52">
        <v>1</v>
      </c>
      <c r="J92" s="52"/>
      <c r="K92" s="52"/>
      <c r="L92" s="52"/>
      <c r="M92" s="52"/>
      <c r="N92" s="52"/>
      <c r="O92" s="52"/>
      <c r="P92" s="52"/>
      <c r="Q92" s="52"/>
      <c r="R92" s="52"/>
      <c r="S92" s="52"/>
      <c r="T92" s="52">
        <v>3</v>
      </c>
      <c r="U92" s="52"/>
      <c r="V92" s="52"/>
      <c r="W92" s="52"/>
      <c r="X92" s="52">
        <v>1</v>
      </c>
      <c r="Y92" s="47"/>
      <c r="Z92" s="47"/>
      <c r="AA92" s="47"/>
      <c r="AB92" s="52"/>
      <c r="AC92" s="47"/>
      <c r="AD92" s="47"/>
      <c r="AE92" s="47"/>
      <c r="AF92" s="47"/>
      <c r="AG92" s="47"/>
      <c r="AH92" s="47"/>
      <c r="AI92" s="47"/>
      <c r="AJ92" s="47"/>
      <c r="AK92" s="47"/>
      <c r="AL92" s="47"/>
      <c r="AM92" s="47"/>
      <c r="AN92" s="47"/>
      <c r="AO92" s="52"/>
      <c r="AP92" s="52"/>
      <c r="AQ92" s="52"/>
      <c r="AR92" s="47"/>
      <c r="AS92" s="47"/>
      <c r="AT92" s="47"/>
      <c r="AU92" s="47"/>
      <c r="AV92" s="47"/>
      <c r="AW92" s="52"/>
      <c r="AX92" s="52"/>
      <c r="AY92" s="52"/>
      <c r="AZ92" s="52"/>
      <c r="BA92" s="47"/>
      <c r="BB92" s="47"/>
      <c r="BC92" s="47"/>
      <c r="BD92" s="47"/>
      <c r="BE92" s="52"/>
      <c r="BF92" s="47"/>
      <c r="BG92" s="52"/>
      <c r="BH92" s="52"/>
      <c r="BI92" s="52"/>
      <c r="BJ92" s="52"/>
      <c r="BK92" s="47"/>
      <c r="BL92" s="47"/>
      <c r="BM92" s="47"/>
      <c r="BN92" s="47"/>
      <c r="BO92" s="47"/>
      <c r="BP92" s="52"/>
      <c r="BQ92" s="52"/>
      <c r="BR92" s="47"/>
      <c r="BS92" s="52"/>
      <c r="BT92" s="52"/>
      <c r="BU92" s="52"/>
      <c r="BV92" s="52"/>
      <c r="BW92" s="52"/>
      <c r="BX92" s="47"/>
      <c r="BY92" s="47"/>
      <c r="BZ92" s="47"/>
      <c r="CA92" s="47"/>
      <c r="CB92" s="52"/>
      <c r="CC92" s="52"/>
      <c r="CD92" s="52"/>
    </row>
    <row r="93" spans="1:82" x14ac:dyDescent="0.25">
      <c r="A93" s="53" t="s">
        <v>734</v>
      </c>
      <c r="B93" s="54"/>
      <c r="C93" s="54" t="s">
        <v>121</v>
      </c>
      <c r="D93" s="55">
        <f>MIN(E93:BC93)</f>
        <v>0.25</v>
      </c>
      <c r="E93" s="52"/>
      <c r="F93" s="52">
        <v>0.25</v>
      </c>
      <c r="G93" s="52"/>
      <c r="H93" s="52"/>
      <c r="I93" s="52"/>
      <c r="J93" s="52"/>
      <c r="K93" s="52"/>
      <c r="L93" s="52"/>
      <c r="M93" s="52">
        <v>1</v>
      </c>
      <c r="N93" s="52"/>
      <c r="O93" s="52"/>
      <c r="P93" s="52"/>
      <c r="Q93" s="52"/>
      <c r="R93" s="52"/>
      <c r="S93" s="52"/>
      <c r="T93" s="52"/>
      <c r="U93" s="52"/>
      <c r="V93" s="52"/>
      <c r="W93" s="52">
        <v>0.25</v>
      </c>
      <c r="X93" s="52"/>
      <c r="Y93" s="47"/>
      <c r="Z93" s="47"/>
      <c r="AA93" s="47"/>
      <c r="AB93" s="52"/>
      <c r="AC93" s="47"/>
      <c r="AD93" s="47"/>
      <c r="AE93" s="47"/>
      <c r="AF93" s="47">
        <v>30</v>
      </c>
      <c r="AG93" s="47"/>
      <c r="AH93" s="47"/>
      <c r="AI93" s="47">
        <v>1</v>
      </c>
      <c r="AJ93" s="47">
        <v>5</v>
      </c>
      <c r="AK93" s="47"/>
      <c r="AL93" s="47"/>
      <c r="AM93" s="47"/>
      <c r="AN93" s="47"/>
      <c r="AO93" s="52"/>
      <c r="AP93" s="52"/>
      <c r="AQ93" s="52"/>
      <c r="AR93" s="47"/>
      <c r="AS93" s="47"/>
      <c r="AT93" s="47"/>
      <c r="AU93" s="47">
        <v>2</v>
      </c>
      <c r="AV93" s="47">
        <v>3</v>
      </c>
      <c r="AW93" s="52"/>
      <c r="AX93" s="52"/>
      <c r="AY93" s="52">
        <v>90</v>
      </c>
      <c r="AZ93" s="52"/>
      <c r="BA93" s="52">
        <v>90</v>
      </c>
      <c r="BB93" s="52">
        <v>90</v>
      </c>
      <c r="BC93" s="52">
        <v>90</v>
      </c>
      <c r="BD93" s="52">
        <v>90</v>
      </c>
      <c r="BE93" s="52"/>
      <c r="BF93" s="47">
        <v>3</v>
      </c>
      <c r="BG93" s="52"/>
      <c r="BH93" s="52"/>
      <c r="BI93" s="52">
        <v>90</v>
      </c>
      <c r="BJ93" s="52"/>
      <c r="BK93" s="52">
        <v>90</v>
      </c>
      <c r="BL93" s="52">
        <v>90</v>
      </c>
      <c r="BM93" s="52">
        <v>90</v>
      </c>
      <c r="BN93" s="52">
        <v>90</v>
      </c>
      <c r="BO93" s="52">
        <v>90</v>
      </c>
      <c r="BP93" s="52"/>
      <c r="BQ93" s="52"/>
      <c r="BR93" s="47">
        <v>3</v>
      </c>
      <c r="BS93" s="52"/>
      <c r="BT93" s="52"/>
      <c r="BU93" s="52"/>
      <c r="BV93" s="52">
        <v>90</v>
      </c>
      <c r="BW93" s="52"/>
      <c r="BX93" s="52">
        <v>90</v>
      </c>
      <c r="BY93" s="52">
        <v>90</v>
      </c>
      <c r="BZ93" s="52">
        <v>90</v>
      </c>
      <c r="CA93" s="52">
        <v>90</v>
      </c>
      <c r="CB93" s="52"/>
      <c r="CC93" s="52"/>
      <c r="CD93" s="52"/>
    </row>
    <row r="94" spans="1:82" ht="26.4" x14ac:dyDescent="0.25">
      <c r="A94" s="53" t="s">
        <v>727</v>
      </c>
      <c r="B94" s="54" t="s">
        <v>720</v>
      </c>
      <c r="C94" s="54" t="s">
        <v>121</v>
      </c>
      <c r="D94" s="55">
        <f>MIN(E94:BC94)</f>
        <v>0.25</v>
      </c>
      <c r="E94" s="52"/>
      <c r="F94" s="52">
        <v>0.25</v>
      </c>
      <c r="G94" s="52"/>
      <c r="H94" s="52"/>
      <c r="I94" s="52"/>
      <c r="J94" s="52"/>
      <c r="K94" s="52"/>
      <c r="L94" s="52"/>
      <c r="M94" s="52">
        <v>1</v>
      </c>
      <c r="N94" s="52"/>
      <c r="O94" s="52"/>
      <c r="P94" s="52"/>
      <c r="Q94" s="52"/>
      <c r="R94" s="52"/>
      <c r="S94" s="52"/>
      <c r="T94" s="52"/>
      <c r="U94" s="52"/>
      <c r="V94" s="52"/>
      <c r="W94" s="52">
        <v>0.25</v>
      </c>
      <c r="X94" s="52"/>
      <c r="Y94" s="47"/>
      <c r="Z94" s="47"/>
      <c r="AA94" s="47"/>
      <c r="AB94" s="52"/>
      <c r="AC94" s="47"/>
      <c r="AD94" s="47"/>
      <c r="AE94" s="47"/>
      <c r="AF94" s="47">
        <v>30</v>
      </c>
      <c r="AG94" s="47"/>
      <c r="AH94" s="47"/>
      <c r="AI94" s="47">
        <v>1</v>
      </c>
      <c r="AJ94" s="47">
        <v>5</v>
      </c>
      <c r="AK94" s="47"/>
      <c r="AL94" s="47"/>
      <c r="AM94" s="47"/>
      <c r="AN94" s="47"/>
      <c r="AO94" s="52"/>
      <c r="AP94" s="52"/>
      <c r="AQ94" s="52"/>
      <c r="AR94" s="47"/>
      <c r="AS94" s="47"/>
      <c r="AT94" s="47"/>
      <c r="AU94" s="47">
        <v>2</v>
      </c>
      <c r="AV94" s="47">
        <v>3</v>
      </c>
      <c r="AW94" s="52"/>
      <c r="AX94" s="52"/>
      <c r="AY94" s="52">
        <v>90</v>
      </c>
      <c r="AZ94" s="52"/>
      <c r="BA94" s="52">
        <v>90</v>
      </c>
      <c r="BB94" s="52">
        <v>90</v>
      </c>
      <c r="BC94" s="52">
        <v>90</v>
      </c>
      <c r="BD94" s="52">
        <v>90</v>
      </c>
      <c r="BE94" s="52"/>
      <c r="BF94" s="47">
        <v>3</v>
      </c>
      <c r="BG94" s="52"/>
      <c r="BH94" s="52"/>
      <c r="BI94" s="52">
        <v>90</v>
      </c>
      <c r="BJ94" s="52"/>
      <c r="BK94" s="52">
        <v>90</v>
      </c>
      <c r="BL94" s="52">
        <v>90</v>
      </c>
      <c r="BM94" s="52">
        <v>90</v>
      </c>
      <c r="BN94" s="52">
        <v>90</v>
      </c>
      <c r="BO94" s="52">
        <v>90</v>
      </c>
      <c r="BP94" s="52"/>
      <c r="BQ94" s="52"/>
      <c r="BR94" s="47">
        <v>3</v>
      </c>
      <c r="BS94" s="52"/>
      <c r="BT94" s="52"/>
      <c r="BU94" s="52"/>
      <c r="BV94" s="52">
        <v>90</v>
      </c>
      <c r="BW94" s="52"/>
      <c r="BX94" s="52">
        <v>90</v>
      </c>
      <c r="BY94" s="52">
        <v>90</v>
      </c>
      <c r="BZ94" s="52">
        <v>90</v>
      </c>
      <c r="CA94" s="52">
        <v>90</v>
      </c>
      <c r="CB94" s="52"/>
      <c r="CC94" s="52"/>
      <c r="CD94" s="52"/>
    </row>
    <row r="95" spans="1:82" x14ac:dyDescent="0.25">
      <c r="A95" s="53" t="s">
        <v>744</v>
      </c>
      <c r="B95" s="54"/>
      <c r="C95" s="54"/>
      <c r="D95" s="55"/>
      <c r="E95" s="52"/>
      <c r="F95" s="52"/>
      <c r="G95" s="52"/>
      <c r="H95" s="52"/>
      <c r="I95" s="52"/>
      <c r="J95" s="52"/>
      <c r="K95" s="52"/>
      <c r="L95" s="52"/>
      <c r="M95" s="52"/>
      <c r="N95" s="52"/>
      <c r="O95" s="52"/>
      <c r="P95" s="52"/>
      <c r="Q95" s="52"/>
      <c r="R95" s="52"/>
      <c r="S95" s="52"/>
      <c r="T95" s="52"/>
      <c r="U95" s="52"/>
      <c r="V95" s="52"/>
      <c r="W95" s="52"/>
      <c r="X95" s="52"/>
      <c r="Y95" s="47"/>
      <c r="Z95" s="47"/>
      <c r="AA95" s="47"/>
      <c r="AB95" s="52"/>
      <c r="AC95" s="47"/>
      <c r="AD95" s="47"/>
      <c r="AE95" s="47"/>
      <c r="AF95" s="47"/>
      <c r="AG95" s="47"/>
      <c r="AH95" s="47"/>
      <c r="AI95" s="47"/>
      <c r="AJ95" s="47"/>
      <c r="AK95" s="47"/>
      <c r="AL95" s="47"/>
      <c r="AM95" s="47"/>
      <c r="AN95" s="47"/>
      <c r="AO95" s="52"/>
      <c r="AP95" s="52"/>
      <c r="AQ95" s="52"/>
      <c r="AR95" s="47"/>
      <c r="AS95" s="47"/>
      <c r="AT95" s="47"/>
      <c r="AU95" s="47"/>
      <c r="AV95" s="47"/>
      <c r="AW95" s="52"/>
      <c r="AX95" s="52"/>
      <c r="AY95" s="52"/>
      <c r="AZ95" s="52"/>
      <c r="BA95" s="47"/>
      <c r="BB95" s="47"/>
      <c r="BC95" s="47"/>
      <c r="BD95" s="47"/>
      <c r="BE95" s="52"/>
      <c r="BF95" s="47"/>
      <c r="BG95" s="52"/>
      <c r="BH95" s="52"/>
      <c r="BI95" s="52"/>
      <c r="BJ95" s="52"/>
      <c r="BK95" s="47"/>
      <c r="BL95" s="47"/>
      <c r="BM95" s="47"/>
      <c r="BN95" s="47"/>
      <c r="BO95" s="47"/>
      <c r="BP95" s="52"/>
      <c r="BQ95" s="52"/>
      <c r="BR95" s="47"/>
      <c r="BS95" s="52"/>
      <c r="BT95" s="52"/>
      <c r="BU95" s="52"/>
      <c r="BV95" s="52"/>
      <c r="BW95" s="52"/>
      <c r="BX95" s="47"/>
      <c r="BY95" s="47"/>
      <c r="BZ95" s="47"/>
      <c r="CA95" s="47"/>
      <c r="CB95" s="52"/>
      <c r="CC95" s="52"/>
      <c r="CD95" s="52"/>
    </row>
    <row r="96" spans="1:82" x14ac:dyDescent="0.25">
      <c r="A96" s="53" t="s">
        <v>729</v>
      </c>
      <c r="B96" s="54"/>
      <c r="C96" s="54"/>
      <c r="D96" s="55"/>
      <c r="E96" s="52"/>
      <c r="F96" s="52"/>
      <c r="G96" s="52"/>
      <c r="H96" s="52"/>
      <c r="I96" s="52"/>
      <c r="J96" s="52"/>
      <c r="K96" s="52"/>
      <c r="L96" s="52"/>
      <c r="M96" s="52"/>
      <c r="N96" s="52"/>
      <c r="O96" s="52"/>
      <c r="P96" s="52"/>
      <c r="Q96" s="52"/>
      <c r="R96" s="52"/>
      <c r="S96" s="52"/>
      <c r="T96" s="52"/>
      <c r="U96" s="52"/>
      <c r="V96" s="52"/>
      <c r="W96" s="52"/>
      <c r="X96" s="52"/>
      <c r="Y96" s="47"/>
      <c r="Z96" s="47"/>
      <c r="AA96" s="47"/>
      <c r="AB96" s="52"/>
      <c r="AC96" s="47"/>
      <c r="AD96" s="47"/>
      <c r="AE96" s="47"/>
      <c r="AF96" s="47"/>
      <c r="AG96" s="47"/>
      <c r="AH96" s="47"/>
      <c r="AI96" s="47"/>
      <c r="AJ96" s="47"/>
      <c r="AK96" s="47"/>
      <c r="AL96" s="47"/>
      <c r="AM96" s="47"/>
      <c r="AN96" s="47"/>
      <c r="AO96" s="52"/>
      <c r="AP96" s="52"/>
      <c r="AQ96" s="52"/>
      <c r="AR96" s="47"/>
      <c r="AS96" s="47"/>
      <c r="AT96" s="47"/>
      <c r="AU96" s="47"/>
      <c r="AV96" s="47"/>
      <c r="AW96" s="52"/>
      <c r="AX96" s="52"/>
      <c r="AY96" s="52"/>
      <c r="AZ96" s="52"/>
      <c r="BA96" s="47"/>
      <c r="BB96" s="47"/>
      <c r="BC96" s="47"/>
      <c r="BD96" s="47"/>
      <c r="BE96" s="52"/>
      <c r="BF96" s="47"/>
      <c r="BG96" s="52"/>
      <c r="BH96" s="52"/>
      <c r="BI96" s="52"/>
      <c r="BJ96" s="52"/>
      <c r="BK96" s="47"/>
      <c r="BL96" s="47"/>
      <c r="BM96" s="47"/>
      <c r="BN96" s="47"/>
      <c r="BO96" s="47"/>
      <c r="BP96" s="52"/>
      <c r="BQ96" s="52"/>
      <c r="BR96" s="47"/>
      <c r="BS96" s="52"/>
      <c r="BT96" s="52"/>
      <c r="BU96" s="52"/>
      <c r="BV96" s="52"/>
      <c r="BW96" s="52"/>
      <c r="BX96" s="47"/>
      <c r="BY96" s="47"/>
      <c r="BZ96" s="47"/>
      <c r="CA96" s="47"/>
      <c r="CB96" s="52"/>
      <c r="CC96" s="52"/>
      <c r="CD96" s="52"/>
    </row>
    <row r="97" spans="1:82" x14ac:dyDescent="0.25">
      <c r="A97" s="53" t="s">
        <v>762</v>
      </c>
      <c r="B97" s="54"/>
      <c r="C97" s="54" t="s">
        <v>121</v>
      </c>
      <c r="D97" s="55">
        <f>MIN(E97:BC97)</f>
        <v>3</v>
      </c>
      <c r="E97" s="52"/>
      <c r="F97" s="52"/>
      <c r="G97" s="52"/>
      <c r="H97" s="52"/>
      <c r="I97" s="52"/>
      <c r="J97" s="52"/>
      <c r="K97" s="52"/>
      <c r="L97" s="52"/>
      <c r="M97" s="52"/>
      <c r="N97" s="52"/>
      <c r="O97" s="52"/>
      <c r="P97" s="52"/>
      <c r="Q97" s="52"/>
      <c r="R97" s="52"/>
      <c r="S97" s="52"/>
      <c r="T97" s="52">
        <v>3</v>
      </c>
      <c r="U97" s="52"/>
      <c r="V97" s="52"/>
      <c r="W97" s="52"/>
      <c r="X97" s="52"/>
      <c r="Y97" s="52">
        <v>3</v>
      </c>
      <c r="Z97" s="47"/>
      <c r="AA97" s="47"/>
      <c r="AB97" s="52"/>
      <c r="AC97" s="47"/>
      <c r="AD97" s="47"/>
      <c r="AE97" s="47"/>
      <c r="AF97" s="47"/>
      <c r="AG97" s="47"/>
      <c r="AH97" s="47"/>
      <c r="AI97" s="47"/>
      <c r="AJ97" s="47"/>
      <c r="AK97" s="47"/>
      <c r="AL97" s="47"/>
      <c r="AM97" s="47"/>
      <c r="AN97" s="47"/>
      <c r="AO97" s="52"/>
      <c r="AP97" s="52"/>
      <c r="AQ97" s="52"/>
      <c r="AR97" s="47"/>
      <c r="AS97" s="47"/>
      <c r="AT97" s="47"/>
      <c r="AU97" s="47"/>
      <c r="AV97" s="47"/>
      <c r="AW97" s="52"/>
      <c r="AX97" s="52"/>
      <c r="AY97" s="52"/>
      <c r="AZ97" s="52"/>
      <c r="BA97" s="47"/>
      <c r="BB97" s="47"/>
      <c r="BC97" s="47"/>
      <c r="BD97" s="47"/>
      <c r="BE97" s="52"/>
      <c r="BF97" s="47"/>
      <c r="BG97" s="52"/>
      <c r="BH97" s="52"/>
      <c r="BI97" s="52"/>
      <c r="BJ97" s="52"/>
      <c r="BK97" s="47"/>
      <c r="BL97" s="47"/>
      <c r="BM97" s="47"/>
      <c r="BN97" s="47"/>
      <c r="BO97" s="47"/>
      <c r="BP97" s="52"/>
      <c r="BQ97" s="52"/>
      <c r="BR97" s="47"/>
      <c r="BS97" s="52"/>
      <c r="BT97" s="52"/>
      <c r="BU97" s="52"/>
      <c r="BV97" s="52"/>
      <c r="BW97" s="52"/>
      <c r="BX97" s="47"/>
      <c r="BY97" s="47"/>
      <c r="BZ97" s="47"/>
      <c r="CA97" s="47"/>
      <c r="CB97" s="52"/>
      <c r="CC97" s="52"/>
      <c r="CD97" s="52"/>
    </row>
    <row r="98" spans="1:82" x14ac:dyDescent="0.25">
      <c r="A98" s="53" t="s">
        <v>217</v>
      </c>
      <c r="B98" s="54"/>
      <c r="C98" s="54" t="s">
        <v>121</v>
      </c>
      <c r="D98" s="55">
        <f>MIN(E98:BC98)</f>
        <v>1</v>
      </c>
      <c r="E98" s="52"/>
      <c r="F98" s="52"/>
      <c r="G98" s="52"/>
      <c r="H98" s="52"/>
      <c r="I98" s="52"/>
      <c r="J98" s="52"/>
      <c r="K98" s="52"/>
      <c r="L98" s="52"/>
      <c r="M98" s="52">
        <v>1</v>
      </c>
      <c r="N98" s="52"/>
      <c r="O98" s="52"/>
      <c r="P98" s="52"/>
      <c r="Q98" s="52"/>
      <c r="R98" s="52"/>
      <c r="S98" s="52"/>
      <c r="T98" s="52"/>
      <c r="U98" s="52"/>
      <c r="V98" s="52"/>
      <c r="W98" s="52"/>
      <c r="X98" s="52"/>
      <c r="Y98" s="47"/>
      <c r="Z98" s="47"/>
      <c r="AA98" s="47"/>
      <c r="AB98" s="52"/>
      <c r="AC98" s="47"/>
      <c r="AD98" s="47"/>
      <c r="AE98" s="47"/>
      <c r="AF98" s="47"/>
      <c r="AG98" s="47" t="s">
        <v>83</v>
      </c>
      <c r="AH98" s="47"/>
      <c r="AI98" s="47"/>
      <c r="AJ98" s="47"/>
      <c r="AK98" s="47"/>
      <c r="AL98" s="47"/>
      <c r="AM98" s="47"/>
      <c r="AN98" s="47"/>
      <c r="AO98" s="52"/>
      <c r="AP98" s="52"/>
      <c r="AQ98" s="52"/>
      <c r="AR98" s="47"/>
      <c r="AS98" s="47"/>
      <c r="AT98" s="47"/>
      <c r="AU98" s="47"/>
      <c r="AV98" s="47"/>
      <c r="AW98" s="52"/>
      <c r="AX98" s="52"/>
      <c r="AY98" s="52"/>
      <c r="AZ98" s="52"/>
      <c r="BA98" s="47"/>
      <c r="BB98" s="47"/>
      <c r="BC98" s="47"/>
      <c r="BD98" s="47"/>
      <c r="BE98" s="52"/>
      <c r="BF98" s="47"/>
      <c r="BG98" s="52"/>
      <c r="BH98" s="52"/>
      <c r="BI98" s="52"/>
      <c r="BJ98" s="52"/>
      <c r="BK98" s="47"/>
      <c r="BL98" s="47"/>
      <c r="BM98" s="47"/>
      <c r="BN98" s="47"/>
      <c r="BO98" s="47"/>
      <c r="BP98" s="52"/>
      <c r="BQ98" s="52"/>
      <c r="BR98" s="47"/>
      <c r="BS98" s="52"/>
      <c r="BT98" s="52"/>
      <c r="BU98" s="52"/>
      <c r="BV98" s="52"/>
      <c r="BW98" s="52"/>
      <c r="BX98" s="47"/>
      <c r="BY98" s="47"/>
      <c r="BZ98" s="47"/>
      <c r="CA98" s="47"/>
      <c r="CB98" s="52"/>
      <c r="CC98" s="52"/>
      <c r="CD98" s="52"/>
    </row>
    <row r="99" spans="1:82" x14ac:dyDescent="0.25">
      <c r="A99" s="53" t="s">
        <v>730</v>
      </c>
      <c r="B99" s="54" t="s">
        <v>718</v>
      </c>
      <c r="C99" s="54"/>
      <c r="D99" s="55"/>
      <c r="E99" s="52"/>
      <c r="F99" s="52"/>
      <c r="G99" s="52"/>
      <c r="H99" s="52"/>
      <c r="I99" s="52"/>
      <c r="J99" s="52"/>
      <c r="K99" s="52"/>
      <c r="L99" s="52"/>
      <c r="M99" s="52"/>
      <c r="N99" s="52"/>
      <c r="O99" s="52"/>
      <c r="P99" s="52"/>
      <c r="Q99" s="52"/>
      <c r="R99" s="52"/>
      <c r="S99" s="52"/>
      <c r="T99" s="52"/>
      <c r="U99" s="52"/>
      <c r="V99" s="52"/>
      <c r="W99" s="52"/>
      <c r="X99" s="52"/>
      <c r="Y99" s="47"/>
      <c r="Z99" s="47"/>
      <c r="AA99" s="47"/>
      <c r="AB99" s="52"/>
      <c r="AC99" s="47"/>
      <c r="AD99" s="47"/>
      <c r="AE99" s="47"/>
      <c r="AF99" s="47"/>
      <c r="AG99" s="47"/>
      <c r="AH99" s="47"/>
      <c r="AI99" s="47"/>
      <c r="AJ99" s="47"/>
      <c r="AK99" s="47"/>
      <c r="AL99" s="47"/>
      <c r="AM99" s="47"/>
      <c r="AN99" s="47"/>
      <c r="AO99" s="52"/>
      <c r="AP99" s="52"/>
      <c r="AQ99" s="52"/>
      <c r="AR99" s="47"/>
      <c r="AS99" s="47"/>
      <c r="AT99" s="47"/>
      <c r="AU99" s="47"/>
      <c r="AV99" s="47"/>
      <c r="AW99" s="52"/>
      <c r="AX99" s="52"/>
      <c r="AY99" s="52"/>
      <c r="AZ99" s="52"/>
      <c r="BA99" s="47"/>
      <c r="BB99" s="47"/>
      <c r="BC99" s="47"/>
      <c r="BD99" s="47"/>
      <c r="BE99" s="52"/>
      <c r="BF99" s="47"/>
      <c r="BG99" s="52"/>
      <c r="BH99" s="52"/>
      <c r="BI99" s="52"/>
      <c r="BJ99" s="52"/>
      <c r="BK99" s="47"/>
      <c r="BL99" s="47"/>
      <c r="BM99" s="47"/>
      <c r="BN99" s="47"/>
      <c r="BO99" s="47"/>
      <c r="BP99" s="52"/>
      <c r="BQ99" s="52"/>
      <c r="BR99" s="47"/>
      <c r="BS99" s="52"/>
      <c r="BT99" s="52"/>
      <c r="BU99" s="52"/>
      <c r="BV99" s="52"/>
      <c r="BW99" s="52"/>
      <c r="BX99" s="47"/>
      <c r="BY99" s="47"/>
      <c r="BZ99" s="47"/>
      <c r="CA99" s="47"/>
      <c r="CB99" s="52"/>
      <c r="CC99" s="52"/>
      <c r="CD99" s="52"/>
    </row>
    <row r="100" spans="1:82" ht="12.75" customHeight="1" x14ac:dyDescent="0.25">
      <c r="A100" s="53" t="s">
        <v>751</v>
      </c>
      <c r="B100" s="54"/>
      <c r="C100" s="54"/>
      <c r="D100" s="55"/>
      <c r="E100" s="52"/>
      <c r="F100" s="52"/>
      <c r="G100" s="52"/>
      <c r="H100" s="52"/>
      <c r="I100" s="52"/>
      <c r="J100" s="52"/>
      <c r="K100" s="52"/>
      <c r="L100" s="52"/>
      <c r="M100" s="52"/>
      <c r="N100" s="52"/>
      <c r="O100" s="52"/>
      <c r="P100" s="52"/>
      <c r="Q100" s="52"/>
      <c r="R100" s="52"/>
      <c r="S100" s="52"/>
      <c r="T100" s="52"/>
      <c r="U100" s="52"/>
      <c r="V100" s="52"/>
      <c r="W100" s="52"/>
      <c r="X100" s="52"/>
      <c r="Y100" s="47"/>
      <c r="Z100" s="47"/>
      <c r="AA100" s="47"/>
      <c r="AB100" s="52"/>
      <c r="AC100" s="47"/>
      <c r="AD100" s="47"/>
      <c r="AE100" s="47"/>
      <c r="AF100" s="47"/>
      <c r="AG100" s="47"/>
      <c r="AH100" s="47"/>
      <c r="AI100" s="47"/>
      <c r="AJ100" s="47"/>
      <c r="AK100" s="47"/>
      <c r="AL100" s="47"/>
      <c r="AM100" s="47"/>
      <c r="AN100" s="47"/>
      <c r="AO100" s="52"/>
      <c r="AP100" s="52"/>
      <c r="AQ100" s="52"/>
      <c r="AR100" s="47"/>
      <c r="AS100" s="47"/>
      <c r="AT100" s="47"/>
      <c r="AU100" s="47"/>
      <c r="AV100" s="47"/>
      <c r="AW100" s="52"/>
      <c r="AX100" s="52"/>
      <c r="AY100" s="52"/>
      <c r="AZ100" s="52"/>
      <c r="BA100" s="47"/>
      <c r="BB100" s="47"/>
      <c r="BC100" s="47"/>
      <c r="BD100" s="47"/>
      <c r="BE100" s="52"/>
      <c r="BF100" s="47"/>
      <c r="BG100" s="52"/>
      <c r="BH100" s="52"/>
      <c r="BI100" s="52"/>
      <c r="BJ100" s="52"/>
      <c r="BK100" s="47"/>
      <c r="BL100" s="47"/>
      <c r="BM100" s="47"/>
      <c r="BN100" s="47"/>
      <c r="BO100" s="47"/>
      <c r="BP100" s="52"/>
      <c r="BQ100" s="52"/>
      <c r="BR100" s="47"/>
      <c r="BS100" s="52"/>
      <c r="BT100" s="52"/>
      <c r="BU100" s="52"/>
      <c r="BV100" s="52"/>
      <c r="BW100" s="52"/>
      <c r="BX100" s="47"/>
      <c r="BY100" s="47"/>
      <c r="BZ100" s="47"/>
      <c r="CA100" s="47"/>
      <c r="CB100" s="52"/>
      <c r="CC100" s="52"/>
      <c r="CD100" s="52"/>
    </row>
    <row r="101" spans="1:82" ht="12.75" customHeight="1" x14ac:dyDescent="0.25">
      <c r="A101" s="53" t="s">
        <v>748</v>
      </c>
      <c r="B101" s="54"/>
      <c r="C101" s="54"/>
      <c r="D101" s="55"/>
      <c r="E101" s="52"/>
      <c r="F101" s="52"/>
      <c r="G101" s="52"/>
      <c r="H101" s="52"/>
      <c r="I101" s="52"/>
      <c r="J101" s="52"/>
      <c r="K101" s="52"/>
      <c r="L101" s="52"/>
      <c r="M101" s="52"/>
      <c r="N101" s="52"/>
      <c r="O101" s="52"/>
      <c r="P101" s="52"/>
      <c r="Q101" s="52"/>
      <c r="R101" s="52"/>
      <c r="S101" s="52"/>
      <c r="T101" s="52"/>
      <c r="U101" s="52"/>
      <c r="V101" s="52"/>
      <c r="W101" s="52"/>
      <c r="X101" s="52"/>
      <c r="Y101" s="47"/>
      <c r="Z101" s="47"/>
      <c r="AA101" s="47"/>
      <c r="AB101" s="52"/>
      <c r="AC101" s="47"/>
      <c r="AD101" s="47"/>
      <c r="AE101" s="47"/>
      <c r="AF101" s="47"/>
      <c r="AG101" s="47"/>
      <c r="AH101" s="47"/>
      <c r="AI101" s="47"/>
      <c r="AJ101" s="47"/>
      <c r="AK101" s="47"/>
      <c r="AL101" s="47"/>
      <c r="AM101" s="47"/>
      <c r="AN101" s="47"/>
      <c r="AO101" s="52"/>
      <c r="AP101" s="52"/>
      <c r="AQ101" s="52"/>
      <c r="AR101" s="47"/>
      <c r="AS101" s="47"/>
      <c r="AT101" s="47"/>
      <c r="AU101" s="47"/>
      <c r="AV101" s="47"/>
      <c r="AW101" s="52"/>
      <c r="AX101" s="52"/>
      <c r="AY101" s="52"/>
      <c r="AZ101" s="52"/>
      <c r="BA101" s="47"/>
      <c r="BB101" s="47"/>
      <c r="BC101" s="47"/>
      <c r="BD101" s="47"/>
      <c r="BE101" s="52"/>
      <c r="BF101" s="47"/>
      <c r="BG101" s="52"/>
      <c r="BH101" s="52"/>
      <c r="BI101" s="52"/>
      <c r="BJ101" s="52"/>
      <c r="BK101" s="47"/>
      <c r="BL101" s="47"/>
      <c r="BM101" s="47"/>
      <c r="BN101" s="47"/>
      <c r="BO101" s="47"/>
      <c r="BP101" s="52"/>
      <c r="BQ101" s="52"/>
      <c r="BR101" s="47"/>
      <c r="BS101" s="52"/>
      <c r="BT101" s="52"/>
      <c r="BU101" s="52"/>
      <c r="BV101" s="52"/>
      <c r="BW101" s="52"/>
      <c r="BX101" s="47"/>
      <c r="BY101" s="47"/>
      <c r="BZ101" s="47"/>
      <c r="CA101" s="47"/>
      <c r="CB101" s="52"/>
      <c r="CC101" s="52"/>
      <c r="CD101" s="52"/>
    </row>
    <row r="102" spans="1:82" ht="12.75" customHeight="1" x14ac:dyDescent="0.25">
      <c r="A102" s="53" t="s">
        <v>735</v>
      </c>
      <c r="B102" s="54"/>
      <c r="C102" s="54" t="s">
        <v>121</v>
      </c>
      <c r="D102" s="55">
        <f>MIN(E102:BC102)</f>
        <v>3</v>
      </c>
      <c r="E102" s="52"/>
      <c r="F102" s="52"/>
      <c r="G102" s="52"/>
      <c r="H102" s="52"/>
      <c r="I102" s="52"/>
      <c r="J102" s="52"/>
      <c r="K102" s="52"/>
      <c r="L102" s="52"/>
      <c r="M102" s="52"/>
      <c r="N102" s="52"/>
      <c r="O102" s="52"/>
      <c r="P102" s="52"/>
      <c r="Q102" s="52"/>
      <c r="R102" s="52"/>
      <c r="S102" s="52"/>
      <c r="T102" s="52">
        <v>3</v>
      </c>
      <c r="U102" s="52"/>
      <c r="V102" s="52"/>
      <c r="W102" s="52"/>
      <c r="X102" s="52"/>
      <c r="Y102" s="52">
        <v>3</v>
      </c>
      <c r="Z102" s="47"/>
      <c r="AA102" s="47"/>
      <c r="AB102" s="52"/>
      <c r="AC102" s="47"/>
      <c r="AD102" s="47"/>
      <c r="AE102" s="47"/>
      <c r="AF102" s="47"/>
      <c r="AG102" s="47"/>
      <c r="AH102" s="47"/>
      <c r="AI102" s="47"/>
      <c r="AJ102" s="47"/>
      <c r="AK102" s="47"/>
      <c r="AL102" s="47"/>
      <c r="AM102" s="47"/>
      <c r="AN102" s="47"/>
      <c r="AO102" s="52"/>
      <c r="AP102" s="52"/>
      <c r="AQ102" s="52"/>
      <c r="AR102" s="47"/>
      <c r="AS102" s="47"/>
      <c r="AT102" s="47"/>
      <c r="AU102" s="47"/>
      <c r="AV102" s="47"/>
      <c r="AW102" s="52"/>
      <c r="AX102" s="52"/>
      <c r="AY102" s="52"/>
      <c r="AZ102" s="52"/>
      <c r="BA102" s="47"/>
      <c r="BB102" s="47"/>
      <c r="BC102" s="47"/>
      <c r="BD102" s="47"/>
      <c r="BE102" s="52"/>
      <c r="BF102" s="47"/>
      <c r="BG102" s="52"/>
      <c r="BH102" s="52"/>
      <c r="BI102" s="52"/>
      <c r="BJ102" s="52"/>
      <c r="BK102" s="47"/>
      <c r="BL102" s="47"/>
      <c r="BM102" s="47"/>
      <c r="BN102" s="47"/>
      <c r="BO102" s="47"/>
      <c r="BP102" s="52"/>
      <c r="BQ102" s="52"/>
      <c r="BR102" s="47"/>
      <c r="BS102" s="52"/>
      <c r="BT102" s="52"/>
      <c r="BU102" s="52"/>
      <c r="BV102" s="52"/>
      <c r="BW102" s="52"/>
      <c r="BX102" s="47"/>
      <c r="BY102" s="47"/>
      <c r="BZ102" s="47"/>
      <c r="CA102" s="47"/>
      <c r="CB102" s="52"/>
      <c r="CC102" s="52"/>
      <c r="CD102" s="52"/>
    </row>
    <row r="103" spans="1:82" ht="12.75" customHeight="1" x14ac:dyDescent="0.25">
      <c r="A103" s="53" t="s">
        <v>224</v>
      </c>
      <c r="B103" s="54"/>
      <c r="C103" s="54" t="s">
        <v>121</v>
      </c>
      <c r="D103" s="55">
        <f>MIN(E103:BC103)</f>
        <v>10</v>
      </c>
      <c r="E103" s="52"/>
      <c r="F103" s="52"/>
      <c r="G103" s="52"/>
      <c r="H103" s="52"/>
      <c r="I103" s="52"/>
      <c r="J103" s="52"/>
      <c r="K103" s="52"/>
      <c r="L103" s="52"/>
      <c r="M103" s="52"/>
      <c r="N103" s="52"/>
      <c r="O103" s="52"/>
      <c r="P103" s="52"/>
      <c r="Q103" s="52"/>
      <c r="R103" s="52"/>
      <c r="S103" s="52"/>
      <c r="T103" s="52"/>
      <c r="U103" s="52"/>
      <c r="V103" s="52"/>
      <c r="W103" s="52"/>
      <c r="X103" s="52"/>
      <c r="Y103" s="47"/>
      <c r="Z103" s="47"/>
      <c r="AA103" s="47"/>
      <c r="AB103" s="52"/>
      <c r="AC103" s="47"/>
      <c r="AD103" s="47"/>
      <c r="AE103" s="47"/>
      <c r="AF103" s="47">
        <v>30</v>
      </c>
      <c r="AG103" s="47"/>
      <c r="AH103" s="47"/>
      <c r="AI103" s="47"/>
      <c r="AJ103" s="47"/>
      <c r="AK103" s="47" t="s">
        <v>83</v>
      </c>
      <c r="AL103" s="47"/>
      <c r="AM103" s="47">
        <v>10</v>
      </c>
      <c r="AN103" s="47" t="s">
        <v>83</v>
      </c>
      <c r="AO103" s="52"/>
      <c r="AP103" s="52"/>
      <c r="AQ103" s="52"/>
      <c r="AR103" s="47"/>
      <c r="AS103" s="47"/>
      <c r="AT103" s="47"/>
      <c r="AU103" s="47"/>
      <c r="AV103" s="47"/>
      <c r="AW103" s="52"/>
      <c r="AX103" s="52"/>
      <c r="AY103" s="52"/>
      <c r="AZ103" s="52"/>
      <c r="BA103" s="47"/>
      <c r="BB103" s="47"/>
      <c r="BC103" s="47"/>
      <c r="BD103" s="47"/>
      <c r="BE103" s="52"/>
      <c r="BF103" s="47"/>
      <c r="BG103" s="52"/>
      <c r="BH103" s="52"/>
      <c r="BI103" s="52"/>
      <c r="BJ103" s="52"/>
      <c r="BK103" s="47"/>
      <c r="BL103" s="47"/>
      <c r="BM103" s="47"/>
      <c r="BN103" s="47"/>
      <c r="BO103" s="47"/>
      <c r="BP103" s="52"/>
      <c r="BQ103" s="52"/>
      <c r="BR103" s="47"/>
      <c r="BS103" s="52"/>
      <c r="BT103" s="52"/>
      <c r="BU103" s="52"/>
      <c r="BV103" s="52"/>
      <c r="BW103" s="52"/>
      <c r="BX103" s="47"/>
      <c r="BY103" s="47"/>
      <c r="BZ103" s="47"/>
      <c r="CA103" s="47"/>
      <c r="CB103" s="52"/>
      <c r="CC103" s="52"/>
      <c r="CD103" s="52"/>
    </row>
    <row r="104" spans="1:82" ht="12.75" customHeight="1" x14ac:dyDescent="0.25">
      <c r="A104" s="53" t="s">
        <v>732</v>
      </c>
      <c r="B104" s="54"/>
      <c r="C104" s="54" t="s">
        <v>121</v>
      </c>
      <c r="D104" s="55">
        <f>MIN(E104:BC104)</f>
        <v>0.25</v>
      </c>
      <c r="E104" s="52"/>
      <c r="F104" s="52">
        <v>0.25</v>
      </c>
      <c r="G104" s="52"/>
      <c r="H104" s="52"/>
      <c r="I104" s="52"/>
      <c r="J104" s="52"/>
      <c r="K104" s="52"/>
      <c r="L104" s="52"/>
      <c r="M104" s="52">
        <v>1</v>
      </c>
      <c r="N104" s="52"/>
      <c r="O104" s="52"/>
      <c r="P104" s="52"/>
      <c r="Q104" s="52"/>
      <c r="R104" s="52"/>
      <c r="S104" s="52"/>
      <c r="T104" s="52"/>
      <c r="U104" s="52"/>
      <c r="V104" s="52"/>
      <c r="W104" s="52">
        <v>0.25</v>
      </c>
      <c r="X104" s="52"/>
      <c r="Y104" s="47"/>
      <c r="Z104" s="47"/>
      <c r="AA104" s="47"/>
      <c r="AB104" s="52"/>
      <c r="AC104" s="47"/>
      <c r="AD104" s="47"/>
      <c r="AE104" s="47"/>
      <c r="AF104" s="47">
        <v>30</v>
      </c>
      <c r="AG104" s="47"/>
      <c r="AH104" s="47"/>
      <c r="AI104" s="47">
        <v>1</v>
      </c>
      <c r="AJ104" s="47">
        <v>5</v>
      </c>
      <c r="AK104" s="47"/>
      <c r="AL104" s="47"/>
      <c r="AM104" s="47"/>
      <c r="AN104" s="47"/>
      <c r="AO104" s="52"/>
      <c r="AP104" s="52"/>
      <c r="AQ104" s="52"/>
      <c r="AR104" s="47"/>
      <c r="AS104" s="47"/>
      <c r="AT104" s="47"/>
      <c r="AU104" s="47">
        <v>2</v>
      </c>
      <c r="AV104" s="47">
        <v>3</v>
      </c>
      <c r="AW104" s="52"/>
      <c r="AX104" s="52"/>
      <c r="AY104" s="52">
        <v>90</v>
      </c>
      <c r="AZ104" s="52"/>
      <c r="BA104" s="52">
        <v>90</v>
      </c>
      <c r="BB104" s="52">
        <v>90</v>
      </c>
      <c r="BC104" s="52">
        <v>90</v>
      </c>
      <c r="BD104" s="52">
        <v>90</v>
      </c>
      <c r="BE104" s="52"/>
      <c r="BF104" s="47">
        <v>3</v>
      </c>
      <c r="BG104" s="52"/>
      <c r="BH104" s="52"/>
      <c r="BI104" s="52">
        <v>90</v>
      </c>
      <c r="BJ104" s="52"/>
      <c r="BK104" s="52">
        <v>90</v>
      </c>
      <c r="BL104" s="52">
        <v>90</v>
      </c>
      <c r="BM104" s="52">
        <v>90</v>
      </c>
      <c r="BN104" s="52">
        <v>90</v>
      </c>
      <c r="BO104" s="52">
        <v>90</v>
      </c>
      <c r="BP104" s="52"/>
      <c r="BQ104" s="52"/>
      <c r="BR104" s="47">
        <v>3</v>
      </c>
      <c r="BS104" s="52"/>
      <c r="BT104" s="52"/>
      <c r="BU104" s="52"/>
      <c r="BV104" s="52">
        <v>90</v>
      </c>
      <c r="BW104" s="52"/>
      <c r="BX104" s="52">
        <v>90</v>
      </c>
      <c r="BY104" s="52">
        <v>90</v>
      </c>
      <c r="BZ104" s="52">
        <v>90</v>
      </c>
      <c r="CA104" s="52">
        <v>90</v>
      </c>
      <c r="CB104" s="52"/>
      <c r="CC104" s="52"/>
      <c r="CD104" s="52"/>
    </row>
    <row r="105" spans="1:82" ht="12.75" customHeight="1" x14ac:dyDescent="0.25">
      <c r="A105" s="53" t="s">
        <v>738</v>
      </c>
      <c r="B105" s="54"/>
      <c r="C105" s="54"/>
      <c r="D105" s="55"/>
      <c r="E105" s="52"/>
      <c r="F105" s="52"/>
      <c r="G105" s="52"/>
      <c r="H105" s="52"/>
      <c r="I105" s="52"/>
      <c r="J105" s="52"/>
      <c r="K105" s="52"/>
      <c r="L105" s="52"/>
      <c r="M105" s="52"/>
      <c r="N105" s="52"/>
      <c r="O105" s="52"/>
      <c r="P105" s="52"/>
      <c r="Q105" s="52"/>
      <c r="R105" s="52"/>
      <c r="S105" s="52"/>
      <c r="T105" s="52"/>
      <c r="U105" s="52"/>
      <c r="V105" s="52"/>
      <c r="W105" s="52"/>
      <c r="X105" s="52"/>
      <c r="Y105" s="47"/>
      <c r="Z105" s="47"/>
      <c r="AA105" s="47"/>
      <c r="AB105" s="52"/>
      <c r="AC105" s="47"/>
      <c r="AD105" s="47"/>
      <c r="AE105" s="47"/>
      <c r="AF105" s="47"/>
      <c r="AG105" s="47"/>
      <c r="AH105" s="47"/>
      <c r="AI105" s="47"/>
      <c r="AJ105" s="47"/>
      <c r="AK105" s="47"/>
      <c r="AL105" s="47"/>
      <c r="AM105" s="47"/>
      <c r="AN105" s="47"/>
      <c r="AO105" s="52"/>
      <c r="AP105" s="52"/>
      <c r="AQ105" s="52"/>
      <c r="AR105" s="47"/>
      <c r="AS105" s="47"/>
      <c r="AT105" s="47"/>
      <c r="AU105" s="47"/>
      <c r="AV105" s="47"/>
      <c r="AW105" s="52"/>
      <c r="AX105" s="52"/>
      <c r="AY105" s="52"/>
      <c r="AZ105" s="52"/>
      <c r="BA105" s="47"/>
      <c r="BB105" s="47"/>
      <c r="BC105" s="47"/>
      <c r="BD105" s="47"/>
      <c r="BE105" s="52"/>
      <c r="BF105" s="47"/>
      <c r="BG105" s="52"/>
      <c r="BH105" s="52"/>
      <c r="BI105" s="52"/>
      <c r="BJ105" s="52"/>
      <c r="BK105" s="47"/>
      <c r="BL105" s="47"/>
      <c r="BM105" s="47"/>
      <c r="BN105" s="47"/>
      <c r="BO105" s="47"/>
      <c r="BP105" s="52"/>
      <c r="BQ105" s="52"/>
      <c r="BR105" s="47"/>
      <c r="BS105" s="52"/>
      <c r="BT105" s="52"/>
      <c r="BU105" s="52"/>
      <c r="BV105" s="52"/>
      <c r="BW105" s="52"/>
      <c r="BX105" s="47"/>
      <c r="BY105" s="47"/>
      <c r="BZ105" s="47"/>
      <c r="CA105" s="47"/>
      <c r="CB105" s="52"/>
      <c r="CC105" s="52"/>
      <c r="CD105" s="52"/>
    </row>
    <row r="106" spans="1:82" ht="12.75" customHeight="1" x14ac:dyDescent="0.25">
      <c r="A106" s="53" t="s">
        <v>742</v>
      </c>
      <c r="B106" s="54"/>
      <c r="C106" s="54"/>
      <c r="D106" s="55"/>
      <c r="E106" s="52"/>
      <c r="F106" s="52"/>
      <c r="G106" s="52"/>
      <c r="H106" s="52"/>
      <c r="I106" s="52"/>
      <c r="J106" s="52"/>
      <c r="K106" s="52"/>
      <c r="L106" s="52"/>
      <c r="M106" s="52"/>
      <c r="N106" s="52"/>
      <c r="O106" s="52"/>
      <c r="P106" s="52"/>
      <c r="Q106" s="52"/>
      <c r="R106" s="52"/>
      <c r="S106" s="52"/>
      <c r="T106" s="52"/>
      <c r="U106" s="52"/>
      <c r="V106" s="52"/>
      <c r="W106" s="52"/>
      <c r="X106" s="52"/>
      <c r="Y106" s="47"/>
      <c r="Z106" s="47"/>
      <c r="AA106" s="47"/>
      <c r="AB106" s="52"/>
      <c r="AC106" s="47"/>
      <c r="AD106" s="47"/>
      <c r="AE106" s="47"/>
      <c r="AF106" s="47"/>
      <c r="AG106" s="47"/>
      <c r="AH106" s="47"/>
      <c r="AI106" s="47"/>
      <c r="AJ106" s="47"/>
      <c r="AK106" s="47"/>
      <c r="AL106" s="47"/>
      <c r="AM106" s="47"/>
      <c r="AN106" s="47"/>
      <c r="AO106" s="52"/>
      <c r="AP106" s="52"/>
      <c r="AQ106" s="52"/>
      <c r="AR106" s="47"/>
      <c r="AS106" s="47"/>
      <c r="AT106" s="47"/>
      <c r="AU106" s="47"/>
      <c r="AV106" s="47"/>
      <c r="AW106" s="52"/>
      <c r="AX106" s="52"/>
      <c r="AY106" s="52"/>
      <c r="AZ106" s="52"/>
      <c r="BA106" s="47"/>
      <c r="BB106" s="47"/>
      <c r="BC106" s="47"/>
      <c r="BD106" s="47"/>
      <c r="BE106" s="52"/>
      <c r="BF106" s="47"/>
      <c r="BG106" s="52"/>
      <c r="BH106" s="52"/>
      <c r="BI106" s="52"/>
      <c r="BJ106" s="52"/>
      <c r="BK106" s="47"/>
      <c r="BL106" s="47"/>
      <c r="BM106" s="47"/>
      <c r="BN106" s="47"/>
      <c r="BO106" s="47"/>
      <c r="BP106" s="52"/>
      <c r="BQ106" s="52"/>
      <c r="BR106" s="47"/>
      <c r="BS106" s="52"/>
      <c r="BT106" s="52"/>
      <c r="BU106" s="52"/>
      <c r="BV106" s="52"/>
      <c r="BW106" s="52"/>
      <c r="BX106" s="47"/>
      <c r="BY106" s="47"/>
      <c r="BZ106" s="47"/>
      <c r="CA106" s="47"/>
      <c r="CB106" s="52"/>
      <c r="CC106" s="52"/>
      <c r="CD106" s="52"/>
    </row>
    <row r="107" spans="1:82" ht="12.75" customHeight="1" x14ac:dyDescent="0.25">
      <c r="A107" s="53" t="s">
        <v>221</v>
      </c>
      <c r="B107" s="54"/>
      <c r="C107" s="54" t="s">
        <v>121</v>
      </c>
      <c r="D107" s="55">
        <f>MIN(E107:BC107)</f>
        <v>3</v>
      </c>
      <c r="E107" s="52"/>
      <c r="F107" s="52"/>
      <c r="G107" s="52"/>
      <c r="H107" s="52"/>
      <c r="I107" s="52"/>
      <c r="J107" s="52"/>
      <c r="K107" s="52"/>
      <c r="L107" s="52"/>
      <c r="M107" s="52"/>
      <c r="N107" s="52"/>
      <c r="O107" s="52"/>
      <c r="P107" s="52"/>
      <c r="Q107" s="52"/>
      <c r="R107" s="52"/>
      <c r="S107" s="52"/>
      <c r="T107" s="52"/>
      <c r="U107" s="52"/>
      <c r="V107" s="52"/>
      <c r="W107" s="52"/>
      <c r="X107" s="52"/>
      <c r="Y107" s="47"/>
      <c r="Z107" s="47"/>
      <c r="AA107" s="47"/>
      <c r="AB107" s="52"/>
      <c r="AC107" s="47"/>
      <c r="AD107" s="47"/>
      <c r="AE107" s="47"/>
      <c r="AF107" s="47"/>
      <c r="AG107" s="47"/>
      <c r="AH107" s="47"/>
      <c r="AI107" s="47"/>
      <c r="AJ107" s="47"/>
      <c r="AK107" s="47"/>
      <c r="AL107" s="47"/>
      <c r="AM107" s="47"/>
      <c r="AN107" s="47"/>
      <c r="AO107" s="52"/>
      <c r="AP107" s="52"/>
      <c r="AQ107" s="52"/>
      <c r="AR107" s="47"/>
      <c r="AS107" s="47"/>
      <c r="AT107" s="47"/>
      <c r="AU107" s="47"/>
      <c r="AV107" s="47">
        <v>3</v>
      </c>
      <c r="AW107" s="52"/>
      <c r="AX107" s="52"/>
      <c r="AY107" s="52"/>
      <c r="AZ107" s="52"/>
      <c r="BA107" s="47"/>
      <c r="BB107" s="47"/>
      <c r="BC107" s="47"/>
      <c r="BD107" s="47"/>
      <c r="BE107" s="52"/>
      <c r="BF107" s="47">
        <v>3</v>
      </c>
      <c r="BG107" s="52"/>
      <c r="BH107" s="52"/>
      <c r="BI107" s="52"/>
      <c r="BJ107" s="52"/>
      <c r="BK107" s="47"/>
      <c r="BL107" s="47"/>
      <c r="BM107" s="47"/>
      <c r="BN107" s="47"/>
      <c r="BO107" s="47"/>
      <c r="BP107" s="52"/>
      <c r="BQ107" s="52"/>
      <c r="BR107" s="47">
        <v>3</v>
      </c>
      <c r="BS107" s="52"/>
      <c r="BT107" s="52"/>
      <c r="BU107" s="52"/>
      <c r="BV107" s="52"/>
      <c r="BW107" s="52"/>
      <c r="BX107" s="47"/>
      <c r="BY107" s="47"/>
      <c r="BZ107" s="47"/>
      <c r="CA107" s="47"/>
      <c r="CB107" s="52"/>
      <c r="CC107" s="52"/>
      <c r="CD107" s="52"/>
    </row>
    <row r="108" spans="1:82" ht="12.75" customHeight="1" x14ac:dyDescent="0.25">
      <c r="A108" s="53" t="s">
        <v>749</v>
      </c>
      <c r="B108" s="54"/>
      <c r="C108" s="54"/>
      <c r="D108" s="55"/>
      <c r="E108" s="52"/>
      <c r="F108" s="52"/>
      <c r="G108" s="52"/>
      <c r="H108" s="52"/>
      <c r="I108" s="52"/>
      <c r="J108" s="52"/>
      <c r="K108" s="52"/>
      <c r="L108" s="52"/>
      <c r="M108" s="52"/>
      <c r="N108" s="52"/>
      <c r="O108" s="52"/>
      <c r="P108" s="52"/>
      <c r="Q108" s="52"/>
      <c r="R108" s="52"/>
      <c r="S108" s="52"/>
      <c r="T108" s="52"/>
      <c r="U108" s="52"/>
      <c r="V108" s="52"/>
      <c r="W108" s="52"/>
      <c r="X108" s="52"/>
      <c r="Y108" s="47"/>
      <c r="Z108" s="47"/>
      <c r="AA108" s="47"/>
      <c r="AB108" s="52"/>
      <c r="AC108" s="47"/>
      <c r="AD108" s="47"/>
      <c r="AE108" s="47"/>
      <c r="AF108" s="47"/>
      <c r="AG108" s="47"/>
      <c r="AH108" s="47"/>
      <c r="AI108" s="47"/>
      <c r="AJ108" s="47"/>
      <c r="AK108" s="47"/>
      <c r="AL108" s="47"/>
      <c r="AM108" s="47"/>
      <c r="AN108" s="47"/>
      <c r="AO108" s="52"/>
      <c r="AP108" s="52"/>
      <c r="AQ108" s="52"/>
      <c r="AR108" s="47"/>
      <c r="AS108" s="47"/>
      <c r="AT108" s="47"/>
      <c r="AU108" s="47"/>
      <c r="AV108" s="47"/>
      <c r="AW108" s="52"/>
      <c r="AX108" s="52"/>
      <c r="AY108" s="52"/>
      <c r="AZ108" s="52"/>
      <c r="BA108" s="47"/>
      <c r="BB108" s="47"/>
      <c r="BC108" s="47"/>
      <c r="BD108" s="47"/>
      <c r="BE108" s="52"/>
      <c r="BF108" s="47"/>
      <c r="BG108" s="52"/>
      <c r="BH108" s="52"/>
      <c r="BI108" s="52"/>
      <c r="BJ108" s="52"/>
      <c r="BK108" s="47"/>
      <c r="BL108" s="47"/>
      <c r="BM108" s="47"/>
      <c r="BN108" s="47"/>
      <c r="BO108" s="47"/>
      <c r="BP108" s="52"/>
      <c r="BQ108" s="52"/>
      <c r="BR108" s="47"/>
      <c r="BS108" s="52"/>
      <c r="BT108" s="52"/>
      <c r="BU108" s="52"/>
      <c r="BV108" s="52"/>
      <c r="BW108" s="52"/>
      <c r="BX108" s="47"/>
      <c r="BY108" s="47"/>
      <c r="BZ108" s="47"/>
      <c r="CA108" s="47"/>
      <c r="CB108" s="52"/>
      <c r="CC108" s="52"/>
      <c r="CD108" s="52"/>
    </row>
    <row r="109" spans="1:82" ht="12.75" customHeight="1" x14ac:dyDescent="0.25">
      <c r="A109" s="53" t="s">
        <v>222</v>
      </c>
      <c r="B109" s="54"/>
      <c r="C109" s="54" t="s">
        <v>121</v>
      </c>
      <c r="D109" s="55">
        <f>MIN(E109:BC109)</f>
        <v>3</v>
      </c>
      <c r="E109" s="52"/>
      <c r="F109" s="52"/>
      <c r="G109" s="52"/>
      <c r="H109" s="52"/>
      <c r="I109" s="52"/>
      <c r="J109" s="52"/>
      <c r="K109" s="52"/>
      <c r="L109" s="52"/>
      <c r="M109" s="52"/>
      <c r="N109" s="52"/>
      <c r="O109" s="52"/>
      <c r="P109" s="52"/>
      <c r="Q109" s="52"/>
      <c r="R109" s="52"/>
      <c r="S109" s="52"/>
      <c r="T109" s="52">
        <v>3</v>
      </c>
      <c r="U109" s="52"/>
      <c r="V109" s="52"/>
      <c r="W109" s="52"/>
      <c r="X109" s="52"/>
      <c r="Y109" s="47"/>
      <c r="Z109" s="47"/>
      <c r="AA109" s="47"/>
      <c r="AB109" s="52"/>
      <c r="AC109" s="47"/>
      <c r="AD109" s="47"/>
      <c r="AE109" s="47"/>
      <c r="AF109" s="47">
        <v>30</v>
      </c>
      <c r="AG109" s="47"/>
      <c r="AH109" s="47"/>
      <c r="AI109" s="47"/>
      <c r="AJ109" s="47"/>
      <c r="AK109" s="47"/>
      <c r="AL109" s="47"/>
      <c r="AM109" s="47">
        <v>10</v>
      </c>
      <c r="AN109" s="47"/>
      <c r="AO109" s="52"/>
      <c r="AP109" s="52"/>
      <c r="AQ109" s="52"/>
      <c r="AR109" s="47"/>
      <c r="AS109" s="47"/>
      <c r="AT109" s="47"/>
      <c r="AU109" s="47"/>
      <c r="AV109" s="47"/>
      <c r="AW109" s="52"/>
      <c r="AX109" s="52"/>
      <c r="AY109" s="52"/>
      <c r="AZ109" s="52"/>
      <c r="BA109" s="47"/>
      <c r="BB109" s="47"/>
      <c r="BC109" s="47"/>
      <c r="BD109" s="47"/>
      <c r="BE109" s="52"/>
      <c r="BF109" s="47"/>
      <c r="BG109" s="52"/>
      <c r="BH109" s="52"/>
      <c r="BI109" s="52"/>
      <c r="BJ109" s="52"/>
      <c r="BK109" s="47"/>
      <c r="BL109" s="47"/>
      <c r="BM109" s="47"/>
      <c r="BN109" s="47"/>
      <c r="BO109" s="47"/>
      <c r="BP109" s="52"/>
      <c r="BQ109" s="52"/>
      <c r="BR109" s="47"/>
      <c r="BS109" s="52"/>
      <c r="BT109" s="52"/>
      <c r="BU109" s="52"/>
      <c r="BV109" s="52"/>
      <c r="BW109" s="52"/>
      <c r="BX109" s="47"/>
      <c r="BY109" s="47"/>
      <c r="BZ109" s="47"/>
      <c r="CA109" s="47"/>
      <c r="CB109" s="52"/>
      <c r="CC109" s="52"/>
      <c r="CD109" s="52"/>
    </row>
    <row r="110" spans="1:82" ht="12.75" customHeight="1" x14ac:dyDescent="0.25">
      <c r="A110" s="53" t="s">
        <v>752</v>
      </c>
      <c r="B110" s="54"/>
      <c r="C110" s="54"/>
      <c r="D110" s="55"/>
      <c r="E110" s="52"/>
      <c r="F110" s="52"/>
      <c r="G110" s="52"/>
      <c r="H110" s="52"/>
      <c r="I110" s="52"/>
      <c r="J110" s="52"/>
      <c r="K110" s="52"/>
      <c r="L110" s="52"/>
      <c r="M110" s="52"/>
      <c r="N110" s="52"/>
      <c r="O110" s="52"/>
      <c r="P110" s="52"/>
      <c r="Q110" s="52"/>
      <c r="R110" s="52"/>
      <c r="S110" s="52"/>
      <c r="T110" s="52"/>
      <c r="U110" s="52"/>
      <c r="V110" s="52"/>
      <c r="W110" s="52"/>
      <c r="X110" s="52"/>
      <c r="Y110" s="47"/>
      <c r="Z110" s="47"/>
      <c r="AA110" s="47"/>
      <c r="AB110" s="52"/>
      <c r="AC110" s="47"/>
      <c r="AD110" s="47"/>
      <c r="AE110" s="47"/>
      <c r="AF110" s="47"/>
      <c r="AG110" s="47"/>
      <c r="AH110" s="47"/>
      <c r="AI110" s="47"/>
      <c r="AJ110" s="47"/>
      <c r="AK110" s="47"/>
      <c r="AL110" s="47"/>
      <c r="AM110" s="47"/>
      <c r="AN110" s="47"/>
      <c r="AO110" s="52"/>
      <c r="AP110" s="52"/>
      <c r="AQ110" s="52"/>
      <c r="AR110" s="47"/>
      <c r="AS110" s="47"/>
      <c r="AT110" s="47"/>
      <c r="AU110" s="47"/>
      <c r="AV110" s="47"/>
      <c r="AW110" s="52"/>
      <c r="AX110" s="52"/>
      <c r="AY110" s="52"/>
      <c r="AZ110" s="52"/>
      <c r="BA110" s="47"/>
      <c r="BB110" s="47"/>
      <c r="BC110" s="47"/>
      <c r="BD110" s="47"/>
      <c r="BE110" s="52"/>
      <c r="BF110" s="47"/>
      <c r="BG110" s="52"/>
      <c r="BH110" s="52"/>
      <c r="BI110" s="52"/>
      <c r="BJ110" s="52"/>
      <c r="BK110" s="47"/>
      <c r="BL110" s="47"/>
      <c r="BM110" s="47"/>
      <c r="BN110" s="47"/>
      <c r="BO110" s="47"/>
      <c r="BP110" s="52"/>
      <c r="BQ110" s="52"/>
      <c r="BR110" s="47"/>
      <c r="BS110" s="52"/>
      <c r="BT110" s="52"/>
      <c r="BU110" s="52"/>
      <c r="BV110" s="52"/>
      <c r="BW110" s="52"/>
      <c r="BX110" s="47"/>
      <c r="BY110" s="47"/>
      <c r="BZ110" s="47"/>
      <c r="CA110" s="47"/>
      <c r="CB110" s="52"/>
      <c r="CC110" s="52"/>
      <c r="CD110" s="52"/>
    </row>
    <row r="111" spans="1:82" ht="12.75" customHeight="1" x14ac:dyDescent="0.25">
      <c r="A111" s="53" t="s">
        <v>739</v>
      </c>
      <c r="B111" s="54"/>
      <c r="C111" s="54"/>
      <c r="D111" s="55"/>
      <c r="E111" s="52"/>
      <c r="F111" s="52"/>
      <c r="G111" s="52"/>
      <c r="H111" s="52"/>
      <c r="I111" s="52"/>
      <c r="J111" s="52"/>
      <c r="K111" s="52"/>
      <c r="L111" s="52"/>
      <c r="M111" s="52"/>
      <c r="N111" s="52"/>
      <c r="O111" s="52"/>
      <c r="P111" s="52"/>
      <c r="Q111" s="52"/>
      <c r="R111" s="52"/>
      <c r="S111" s="52"/>
      <c r="T111" s="52"/>
      <c r="U111" s="52"/>
      <c r="V111" s="52"/>
      <c r="W111" s="52"/>
      <c r="X111" s="52"/>
      <c r="Y111" s="47"/>
      <c r="Z111" s="47"/>
      <c r="AA111" s="47"/>
      <c r="AB111" s="52"/>
      <c r="AC111" s="47"/>
      <c r="AD111" s="47"/>
      <c r="AE111" s="47"/>
      <c r="AF111" s="47"/>
      <c r="AG111" s="47"/>
      <c r="AH111" s="47"/>
      <c r="AI111" s="47"/>
      <c r="AJ111" s="47"/>
      <c r="AK111" s="47"/>
      <c r="AL111" s="47"/>
      <c r="AM111" s="47"/>
      <c r="AN111" s="47"/>
      <c r="AO111" s="52"/>
      <c r="AP111" s="52"/>
      <c r="AQ111" s="52"/>
      <c r="AR111" s="47"/>
      <c r="AS111" s="47"/>
      <c r="AT111" s="47"/>
      <c r="AU111" s="47"/>
      <c r="AV111" s="47"/>
      <c r="AW111" s="52"/>
      <c r="AX111" s="52"/>
      <c r="AY111" s="52"/>
      <c r="AZ111" s="52"/>
      <c r="BA111" s="47"/>
      <c r="BB111" s="47"/>
      <c r="BC111" s="47"/>
      <c r="BD111" s="47"/>
      <c r="BE111" s="52"/>
      <c r="BF111" s="47"/>
      <c r="BG111" s="52"/>
      <c r="BH111" s="52"/>
      <c r="BI111" s="52"/>
      <c r="BJ111" s="52"/>
      <c r="BK111" s="47"/>
      <c r="BL111" s="47"/>
      <c r="BM111" s="47"/>
      <c r="BN111" s="47"/>
      <c r="BO111" s="47"/>
      <c r="BP111" s="52"/>
      <c r="BQ111" s="52"/>
      <c r="BR111" s="47"/>
      <c r="BS111" s="52"/>
      <c r="BT111" s="52"/>
      <c r="BU111" s="52"/>
      <c r="BV111" s="52"/>
      <c r="BW111" s="52"/>
      <c r="BX111" s="47"/>
      <c r="BY111" s="47"/>
      <c r="BZ111" s="47"/>
      <c r="CA111" s="47"/>
      <c r="CB111" s="52"/>
      <c r="CC111" s="52"/>
      <c r="CD111" s="52"/>
    </row>
    <row r="112" spans="1:82" ht="12.75" customHeight="1" x14ac:dyDescent="0.25">
      <c r="A112" s="53" t="s">
        <v>736</v>
      </c>
      <c r="B112" s="54" t="s">
        <v>720</v>
      </c>
      <c r="C112" s="54"/>
      <c r="D112" s="55"/>
      <c r="E112" s="52"/>
      <c r="F112" s="52"/>
      <c r="G112" s="52"/>
      <c r="H112" s="52"/>
      <c r="I112" s="52"/>
      <c r="J112" s="52"/>
      <c r="K112" s="52"/>
      <c r="L112" s="52"/>
      <c r="M112" s="52"/>
      <c r="N112" s="52"/>
      <c r="O112" s="52"/>
      <c r="P112" s="52"/>
      <c r="Q112" s="52"/>
      <c r="R112" s="52"/>
      <c r="S112" s="52"/>
      <c r="T112" s="52"/>
      <c r="U112" s="52"/>
      <c r="V112" s="52"/>
      <c r="W112" s="52"/>
      <c r="X112" s="52"/>
      <c r="Y112" s="52"/>
      <c r="Z112" s="47"/>
      <c r="AA112" s="47"/>
      <c r="AB112" s="52"/>
      <c r="AC112" s="47"/>
      <c r="AD112" s="47"/>
      <c r="AE112" s="47"/>
      <c r="AF112" s="47"/>
      <c r="AG112" s="47"/>
      <c r="AH112" s="47"/>
      <c r="AI112" s="47"/>
      <c r="AJ112" s="47"/>
      <c r="AK112" s="47"/>
      <c r="AL112" s="47"/>
      <c r="AM112" s="47"/>
      <c r="AN112" s="47"/>
      <c r="AO112" s="52"/>
      <c r="AP112" s="52"/>
      <c r="AQ112" s="52"/>
      <c r="AR112" s="47"/>
      <c r="AS112" s="47"/>
      <c r="AT112" s="47"/>
      <c r="AU112" s="47"/>
      <c r="AV112" s="47"/>
      <c r="AW112" s="52"/>
      <c r="AX112" s="52"/>
      <c r="AY112" s="52"/>
      <c r="AZ112" s="52"/>
      <c r="BA112" s="47"/>
      <c r="BB112" s="47"/>
      <c r="BC112" s="47"/>
      <c r="BD112" s="47"/>
      <c r="BE112" s="52"/>
      <c r="BF112" s="47"/>
      <c r="BG112" s="52"/>
      <c r="BH112" s="52"/>
      <c r="BI112" s="52"/>
      <c r="BJ112" s="52"/>
      <c r="BK112" s="47"/>
      <c r="BL112" s="47"/>
      <c r="BM112" s="47"/>
      <c r="BN112" s="47"/>
      <c r="BO112" s="47"/>
      <c r="BP112" s="52"/>
      <c r="BQ112" s="52"/>
      <c r="BR112" s="47"/>
      <c r="BS112" s="52"/>
      <c r="BT112" s="52"/>
      <c r="BU112" s="52"/>
      <c r="BV112" s="52"/>
      <c r="BW112" s="52"/>
      <c r="BX112" s="47"/>
      <c r="BY112" s="47"/>
      <c r="BZ112" s="47"/>
      <c r="CA112" s="47"/>
      <c r="CB112" s="52"/>
      <c r="CC112" s="52"/>
      <c r="CD112" s="52"/>
    </row>
    <row r="113" spans="1:82" ht="12.75" customHeight="1" x14ac:dyDescent="0.25">
      <c r="A113" s="53" t="s">
        <v>737</v>
      </c>
      <c r="B113" s="54"/>
      <c r="C113" s="54"/>
      <c r="D113" s="55"/>
      <c r="E113" s="52"/>
      <c r="F113" s="52"/>
      <c r="G113" s="52"/>
      <c r="H113" s="52"/>
      <c r="I113" s="52"/>
      <c r="J113" s="52"/>
      <c r="K113" s="52"/>
      <c r="L113" s="52"/>
      <c r="M113" s="52"/>
      <c r="N113" s="52"/>
      <c r="O113" s="52"/>
      <c r="P113" s="52"/>
      <c r="Q113" s="52"/>
      <c r="R113" s="52"/>
      <c r="S113" s="52"/>
      <c r="T113" s="52"/>
      <c r="U113" s="52"/>
      <c r="V113" s="52"/>
      <c r="W113" s="52"/>
      <c r="X113" s="52"/>
      <c r="Y113" s="47"/>
      <c r="Z113" s="47"/>
      <c r="AA113" s="47"/>
      <c r="AB113" s="52"/>
      <c r="AC113" s="47"/>
      <c r="AD113" s="47"/>
      <c r="AE113" s="47"/>
      <c r="AF113" s="47"/>
      <c r="AG113" s="47"/>
      <c r="AH113" s="47"/>
      <c r="AI113" s="47"/>
      <c r="AJ113" s="47"/>
      <c r="AK113" s="47"/>
      <c r="AL113" s="47"/>
      <c r="AM113" s="47"/>
      <c r="AN113" s="47"/>
      <c r="AO113" s="52"/>
      <c r="AP113" s="52"/>
      <c r="AQ113" s="52"/>
      <c r="AR113" s="47"/>
      <c r="AS113" s="47"/>
      <c r="AT113" s="47"/>
      <c r="AU113" s="47"/>
      <c r="AV113" s="47"/>
      <c r="AW113" s="52"/>
      <c r="AX113" s="52"/>
      <c r="AY113" s="52"/>
      <c r="AZ113" s="52"/>
      <c r="BA113" s="47"/>
      <c r="BB113" s="47"/>
      <c r="BC113" s="47"/>
      <c r="BD113" s="47"/>
      <c r="BE113" s="52"/>
      <c r="BF113" s="47"/>
      <c r="BG113" s="52"/>
      <c r="BH113" s="52"/>
      <c r="BI113" s="52"/>
      <c r="BJ113" s="52"/>
      <c r="BK113" s="47"/>
      <c r="BL113" s="47"/>
      <c r="BM113" s="47"/>
      <c r="BN113" s="47"/>
      <c r="BO113" s="47"/>
      <c r="BP113" s="52"/>
      <c r="BQ113" s="52"/>
      <c r="BR113" s="47"/>
      <c r="BS113" s="52"/>
      <c r="BT113" s="52"/>
      <c r="BU113" s="52"/>
      <c r="BV113" s="52"/>
      <c r="BW113" s="52"/>
      <c r="BX113" s="47"/>
      <c r="BY113" s="47"/>
      <c r="BZ113" s="47"/>
      <c r="CA113" s="47"/>
      <c r="CB113" s="52"/>
      <c r="CC113" s="52"/>
      <c r="CD113" s="52"/>
    </row>
    <row r="114" spans="1:82" ht="12.75" customHeight="1" x14ac:dyDescent="0.25">
      <c r="A114" s="53" t="s">
        <v>223</v>
      </c>
      <c r="B114" s="54"/>
      <c r="C114" s="54" t="s">
        <v>121</v>
      </c>
      <c r="D114" s="55">
        <f>MIN(E114:BC114)</f>
        <v>3</v>
      </c>
      <c r="E114" s="52"/>
      <c r="F114" s="52"/>
      <c r="G114" s="52"/>
      <c r="H114" s="52"/>
      <c r="I114" s="52"/>
      <c r="J114" s="52"/>
      <c r="K114" s="52"/>
      <c r="L114" s="52"/>
      <c r="M114" s="52"/>
      <c r="N114" s="52"/>
      <c r="O114" s="52"/>
      <c r="P114" s="52"/>
      <c r="Q114" s="52"/>
      <c r="R114" s="52"/>
      <c r="S114" s="52"/>
      <c r="T114" s="52">
        <v>3</v>
      </c>
      <c r="U114" s="52"/>
      <c r="V114" s="52"/>
      <c r="W114" s="52"/>
      <c r="X114" s="52"/>
      <c r="Y114" s="52">
        <v>3</v>
      </c>
      <c r="Z114" s="47"/>
      <c r="AA114" s="47"/>
      <c r="AB114" s="52"/>
      <c r="AC114" s="47"/>
      <c r="AD114" s="47"/>
      <c r="AE114" s="47"/>
      <c r="AF114" s="47"/>
      <c r="AG114" s="47"/>
      <c r="AH114" s="47"/>
      <c r="AI114" s="47"/>
      <c r="AJ114" s="47"/>
      <c r="AK114" s="47"/>
      <c r="AL114" s="47"/>
      <c r="AM114" s="47"/>
      <c r="AN114" s="47"/>
      <c r="AO114" s="52"/>
      <c r="AP114" s="52"/>
      <c r="AQ114" s="52"/>
      <c r="AR114" s="47"/>
      <c r="AS114" s="47"/>
      <c r="AT114" s="47"/>
      <c r="AU114" s="47"/>
      <c r="AV114" s="47"/>
      <c r="AW114" s="52"/>
      <c r="AX114" s="52"/>
      <c r="AY114" s="52"/>
      <c r="AZ114" s="52"/>
      <c r="BA114" s="47"/>
      <c r="BB114" s="47"/>
      <c r="BC114" s="47"/>
      <c r="BD114" s="47"/>
      <c r="BE114" s="52"/>
      <c r="BF114" s="47"/>
      <c r="BG114" s="52"/>
      <c r="BH114" s="52"/>
      <c r="BI114" s="52"/>
      <c r="BJ114" s="52"/>
      <c r="BK114" s="47"/>
      <c r="BL114" s="47"/>
      <c r="BM114" s="47"/>
      <c r="BN114" s="47"/>
      <c r="BO114" s="47"/>
      <c r="BP114" s="52"/>
      <c r="BQ114" s="52"/>
      <c r="BR114" s="47"/>
      <c r="BS114" s="52"/>
      <c r="BT114" s="52"/>
      <c r="BU114" s="52"/>
      <c r="BV114" s="52"/>
      <c r="BW114" s="52"/>
      <c r="BX114" s="47"/>
      <c r="BY114" s="47"/>
      <c r="BZ114" s="47"/>
      <c r="CA114" s="47"/>
      <c r="CB114" s="52"/>
      <c r="CC114" s="52"/>
      <c r="CD114" s="52"/>
    </row>
    <row r="115" spans="1:82" ht="12.75" customHeight="1" x14ac:dyDescent="0.25">
      <c r="A115" s="53" t="s">
        <v>750</v>
      </c>
      <c r="B115" s="54"/>
      <c r="C115" s="54"/>
      <c r="D115" s="55"/>
      <c r="E115" s="52"/>
      <c r="F115" s="52"/>
      <c r="G115" s="52"/>
      <c r="H115" s="52"/>
      <c r="I115" s="52"/>
      <c r="J115" s="52"/>
      <c r="K115" s="52"/>
      <c r="L115" s="52"/>
      <c r="M115" s="52"/>
      <c r="N115" s="52"/>
      <c r="O115" s="52"/>
      <c r="P115" s="52"/>
      <c r="Q115" s="52"/>
      <c r="R115" s="52"/>
      <c r="S115" s="52"/>
      <c r="T115" s="52"/>
      <c r="U115" s="52"/>
      <c r="V115" s="52"/>
      <c r="W115" s="52"/>
      <c r="X115" s="52"/>
      <c r="Y115" s="47"/>
      <c r="Z115" s="47"/>
      <c r="AA115" s="47"/>
      <c r="AB115" s="52"/>
      <c r="AC115" s="47"/>
      <c r="AD115" s="47"/>
      <c r="AE115" s="47"/>
      <c r="AF115" s="47"/>
      <c r="AG115" s="47"/>
      <c r="AH115" s="47"/>
      <c r="AI115" s="47"/>
      <c r="AJ115" s="47"/>
      <c r="AK115" s="47"/>
      <c r="AL115" s="47"/>
      <c r="AM115" s="47"/>
      <c r="AN115" s="47"/>
      <c r="AO115" s="52"/>
      <c r="AP115" s="52"/>
      <c r="AQ115" s="52"/>
      <c r="AR115" s="47"/>
      <c r="AS115" s="47"/>
      <c r="AT115" s="47"/>
      <c r="AU115" s="47"/>
      <c r="AV115" s="47"/>
      <c r="AW115" s="52"/>
      <c r="AX115" s="52"/>
      <c r="AY115" s="52"/>
      <c r="AZ115" s="52"/>
      <c r="BA115" s="47"/>
      <c r="BB115" s="47"/>
      <c r="BC115" s="47"/>
      <c r="BD115" s="47"/>
      <c r="BE115" s="52"/>
      <c r="BF115" s="47"/>
      <c r="BG115" s="52"/>
      <c r="BH115" s="52"/>
      <c r="BI115" s="52"/>
      <c r="BJ115" s="52"/>
      <c r="BK115" s="47"/>
      <c r="BL115" s="47"/>
      <c r="BM115" s="47"/>
      <c r="BN115" s="47"/>
      <c r="BO115" s="47"/>
      <c r="BP115" s="52"/>
      <c r="BQ115" s="52"/>
      <c r="BR115" s="47"/>
      <c r="BS115" s="52"/>
      <c r="BT115" s="52"/>
      <c r="BU115" s="52"/>
      <c r="BV115" s="52"/>
      <c r="BW115" s="52"/>
      <c r="BX115" s="47"/>
      <c r="BY115" s="47"/>
      <c r="BZ115" s="47"/>
      <c r="CA115" s="47"/>
      <c r="CB115" s="52"/>
      <c r="CC115" s="52"/>
      <c r="CD115" s="52"/>
    </row>
    <row r="116" spans="1:82" ht="12.75" customHeight="1" x14ac:dyDescent="0.25">
      <c r="A116" s="53" t="s">
        <v>763</v>
      </c>
      <c r="B116" s="54" t="s">
        <v>720</v>
      </c>
      <c r="C116" s="54"/>
      <c r="D116" s="55"/>
      <c r="E116" s="52"/>
      <c r="F116" s="52"/>
      <c r="G116" s="52"/>
      <c r="H116" s="52"/>
      <c r="I116" s="52"/>
      <c r="J116" s="52"/>
      <c r="K116" s="52"/>
      <c r="L116" s="52"/>
      <c r="M116" s="52"/>
      <c r="N116" s="52"/>
      <c r="O116" s="52"/>
      <c r="P116" s="52"/>
      <c r="Q116" s="52"/>
      <c r="R116" s="52"/>
      <c r="S116" s="52"/>
      <c r="T116" s="52"/>
      <c r="U116" s="52"/>
      <c r="V116" s="52"/>
      <c r="W116" s="52"/>
      <c r="X116" s="52"/>
      <c r="Y116" s="47"/>
      <c r="Z116" s="47"/>
      <c r="AA116" s="47"/>
      <c r="AB116" s="52"/>
      <c r="AC116" s="47"/>
      <c r="AD116" s="47"/>
      <c r="AE116" s="47"/>
      <c r="AF116" s="47"/>
      <c r="AG116" s="47"/>
      <c r="AH116" s="47"/>
      <c r="AI116" s="47"/>
      <c r="AJ116" s="47"/>
      <c r="AK116" s="47"/>
      <c r="AL116" s="47"/>
      <c r="AM116" s="47"/>
      <c r="AN116" s="47"/>
      <c r="AO116" s="52"/>
      <c r="AP116" s="52"/>
      <c r="AQ116" s="52"/>
      <c r="AR116" s="47"/>
      <c r="AS116" s="47"/>
      <c r="AT116" s="47"/>
      <c r="AU116" s="47"/>
      <c r="AV116" s="47"/>
      <c r="AW116" s="52"/>
      <c r="AX116" s="52"/>
      <c r="AY116" s="52"/>
      <c r="AZ116" s="52"/>
      <c r="BA116" s="47"/>
      <c r="BB116" s="47"/>
      <c r="BC116" s="47"/>
      <c r="BD116" s="47"/>
      <c r="BE116" s="52"/>
      <c r="BF116" s="47"/>
      <c r="BG116" s="52"/>
      <c r="BH116" s="52"/>
      <c r="BI116" s="52"/>
      <c r="BJ116" s="52"/>
      <c r="BK116" s="47"/>
      <c r="BL116" s="47"/>
      <c r="BM116" s="47"/>
      <c r="BN116" s="47"/>
      <c r="BO116" s="47"/>
      <c r="BP116" s="52"/>
      <c r="BQ116" s="52"/>
      <c r="BR116" s="47"/>
      <c r="BS116" s="52"/>
      <c r="BT116" s="52"/>
      <c r="BU116" s="52"/>
      <c r="BV116" s="52"/>
      <c r="BW116" s="52"/>
      <c r="BX116" s="47"/>
      <c r="BY116" s="47"/>
      <c r="BZ116" s="47"/>
      <c r="CA116" s="47"/>
      <c r="CB116" s="52"/>
      <c r="CC116" s="52"/>
      <c r="CD116" s="52"/>
    </row>
    <row r="117" spans="1:82" ht="12.75" customHeight="1" x14ac:dyDescent="0.25">
      <c r="A117" s="53" t="s">
        <v>218</v>
      </c>
      <c r="B117" s="54"/>
      <c r="C117" s="54" t="s">
        <v>121</v>
      </c>
      <c r="D117" s="55">
        <f>MIN(E117:BC117)</f>
        <v>1</v>
      </c>
      <c r="E117" s="52"/>
      <c r="F117" s="52"/>
      <c r="G117" s="52"/>
      <c r="H117" s="52"/>
      <c r="I117" s="52"/>
      <c r="J117" s="52"/>
      <c r="K117" s="52"/>
      <c r="L117" s="52"/>
      <c r="M117" s="52"/>
      <c r="N117" s="52"/>
      <c r="O117" s="52"/>
      <c r="P117" s="52"/>
      <c r="Q117" s="52"/>
      <c r="R117" s="52"/>
      <c r="S117" s="52"/>
      <c r="T117" s="52"/>
      <c r="U117" s="52"/>
      <c r="V117" s="52"/>
      <c r="W117" s="52"/>
      <c r="X117" s="52"/>
      <c r="Y117" s="47"/>
      <c r="Z117" s="47"/>
      <c r="AA117" s="47"/>
      <c r="AB117" s="52">
        <v>1</v>
      </c>
      <c r="AC117" s="47"/>
      <c r="AD117" s="47"/>
      <c r="AE117" s="47"/>
      <c r="AF117" s="47"/>
      <c r="AG117" s="47"/>
      <c r="AH117" s="47"/>
      <c r="AI117" s="47"/>
      <c r="AJ117" s="47"/>
      <c r="AK117" s="47">
        <v>10</v>
      </c>
      <c r="AL117" s="47"/>
      <c r="AM117" s="47"/>
      <c r="AN117" s="47"/>
      <c r="AO117" s="52"/>
      <c r="AP117" s="52"/>
      <c r="AQ117" s="52"/>
      <c r="AR117" s="47"/>
      <c r="AS117" s="47"/>
      <c r="AT117" s="47"/>
      <c r="AU117" s="47"/>
      <c r="AV117" s="47"/>
      <c r="AW117" s="52"/>
      <c r="AX117" s="52"/>
      <c r="AY117" s="52"/>
      <c r="AZ117" s="52"/>
      <c r="BA117" s="47"/>
      <c r="BB117" s="47"/>
      <c r="BC117" s="47"/>
      <c r="BD117" s="47"/>
      <c r="BE117" s="52"/>
      <c r="BF117" s="47"/>
      <c r="BG117" s="52"/>
      <c r="BH117" s="52"/>
      <c r="BI117" s="52"/>
      <c r="BJ117" s="52"/>
      <c r="BK117" s="47"/>
      <c r="BL117" s="47"/>
      <c r="BM117" s="47"/>
      <c r="BN117" s="47"/>
      <c r="BO117" s="47"/>
      <c r="BP117" s="52"/>
      <c r="BQ117" s="52"/>
      <c r="BR117" s="47"/>
      <c r="BS117" s="52"/>
      <c r="BT117" s="52"/>
      <c r="BU117" s="52"/>
      <c r="BV117" s="52"/>
      <c r="BW117" s="52"/>
      <c r="BX117" s="47"/>
      <c r="BY117" s="47"/>
      <c r="BZ117" s="47"/>
      <c r="CA117" s="47"/>
      <c r="CB117" s="52"/>
      <c r="CC117" s="52"/>
      <c r="CD117" s="52"/>
    </row>
    <row r="118" spans="1:82" ht="26.4" x14ac:dyDescent="0.25">
      <c r="A118" s="53" t="s">
        <v>415</v>
      </c>
      <c r="B118" s="54" t="s">
        <v>720</v>
      </c>
      <c r="C118" s="54"/>
      <c r="D118" s="55"/>
      <c r="E118" s="52"/>
      <c r="F118" s="52"/>
      <c r="G118" s="52"/>
      <c r="H118" s="52"/>
      <c r="I118" s="52"/>
      <c r="J118" s="52"/>
      <c r="K118" s="52"/>
      <c r="L118" s="52"/>
      <c r="M118" s="52"/>
      <c r="N118" s="52"/>
      <c r="O118" s="52"/>
      <c r="P118" s="52"/>
      <c r="Q118" s="52"/>
      <c r="R118" s="52"/>
      <c r="S118" s="52"/>
      <c r="T118" s="52"/>
      <c r="U118" s="52"/>
      <c r="V118" s="52"/>
      <c r="W118" s="52"/>
      <c r="X118" s="52"/>
      <c r="Y118" s="47"/>
      <c r="Z118" s="47"/>
      <c r="AA118" s="47"/>
      <c r="AB118" s="52"/>
      <c r="AC118" s="47"/>
      <c r="AD118" s="47"/>
      <c r="AE118" s="47"/>
      <c r="AF118" s="47"/>
      <c r="AG118" s="47"/>
      <c r="AH118" s="47"/>
      <c r="AI118" s="47"/>
      <c r="AJ118" s="47"/>
      <c r="AK118" s="47"/>
      <c r="AL118" s="47"/>
      <c r="AM118" s="47"/>
      <c r="AN118" s="47"/>
      <c r="AO118" s="52"/>
      <c r="AP118" s="52"/>
      <c r="AQ118" s="52"/>
      <c r="AR118" s="47"/>
      <c r="AS118" s="47"/>
      <c r="AT118" s="47"/>
      <c r="AU118" s="47"/>
      <c r="AV118" s="47"/>
      <c r="AW118" s="52"/>
      <c r="AX118" s="52"/>
      <c r="AY118" s="52"/>
      <c r="AZ118" s="52"/>
      <c r="BA118" s="47"/>
      <c r="BB118" s="47"/>
      <c r="BC118" s="47"/>
      <c r="BD118" s="47"/>
      <c r="BE118" s="52"/>
      <c r="BF118" s="47"/>
      <c r="BG118" s="52"/>
      <c r="BH118" s="52"/>
      <c r="BI118" s="52"/>
      <c r="BJ118" s="52"/>
      <c r="BK118" s="47"/>
      <c r="BL118" s="47"/>
      <c r="BM118" s="47"/>
      <c r="BN118" s="47"/>
      <c r="BO118" s="47"/>
      <c r="BP118" s="52"/>
      <c r="BQ118" s="52"/>
      <c r="BR118" s="47"/>
      <c r="BS118" s="52"/>
      <c r="BT118" s="52"/>
      <c r="BU118" s="52"/>
      <c r="BV118" s="52"/>
      <c r="BW118" s="52"/>
      <c r="BX118" s="47"/>
      <c r="BY118" s="47"/>
      <c r="BZ118" s="47"/>
      <c r="CA118" s="47"/>
      <c r="CB118" s="52"/>
      <c r="CC118" s="52"/>
      <c r="CD118" s="52"/>
    </row>
  </sheetData>
  <sortState ref="A6:BZ118">
    <sortCondition sortBy="cellColor" ref="A6:A118" dxfId="0"/>
    <sortCondition ref="A6:A118"/>
  </sortState>
  <mergeCells count="9">
    <mergeCell ref="AZ1:BJ1"/>
    <mergeCell ref="BK1:BN1"/>
    <mergeCell ref="BS1:BY1"/>
    <mergeCell ref="BZ1:CD1"/>
    <mergeCell ref="E1:I1"/>
    <mergeCell ref="J1:Y1"/>
    <mergeCell ref="Z1:AK1"/>
    <mergeCell ref="AL1:AS1"/>
    <mergeCell ref="AT1:AY1"/>
  </mergeCells>
  <pageMargins left="0.25" right="0.28000000000000003" top="0.72" bottom="0.56999999999999995" header="0.5" footer="0.28999999999999998"/>
  <pageSetup paperSize="5" scale="70" firstPageNumber="50" orientation="portrait" useFirstPageNumber="1" r:id="rId1"/>
  <headerFooter alignWithMargins="0">
    <oddHeader>&amp;L&amp;"Tahoma,Regular"&amp;P of &amp;N&amp;C&amp;"Arial,Bold"&amp;12&amp;A&amp;R&amp;D</oddHeader>
    <oddFooter xml:space="preserve">&amp;L
&amp;8&amp;Z&amp;F&amp;CINTERNAL USE ONLY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FF00"/>
  </sheetPr>
  <dimension ref="A1:EJ70"/>
  <sheetViews>
    <sheetView tabSelected="1" zoomScaleNormal="100" workbookViewId="0">
      <pane xSplit="4" ySplit="2" topLeftCell="E49" activePane="bottomRight" state="frozen"/>
      <selection activeCell="B1" sqref="B1"/>
      <selection pane="topRight" activeCell="D1" sqref="D1"/>
      <selection pane="bottomLeft" activeCell="B4" sqref="B4"/>
      <selection pane="bottomRight" activeCell="E49" sqref="E49"/>
    </sheetView>
  </sheetViews>
  <sheetFormatPr defaultRowHeight="13.2" outlineLevelRow="1" x14ac:dyDescent="0.25"/>
  <cols>
    <col min="1" max="1" width="15.5546875" style="82" customWidth="1"/>
    <col min="2" max="3" width="12.88671875" style="82" customWidth="1"/>
    <col min="4" max="4" width="13.109375" style="82" customWidth="1"/>
    <col min="5" max="5" width="34.5546875" style="82" customWidth="1"/>
    <col min="6" max="6" width="11.33203125" style="83" bestFit="1" customWidth="1"/>
    <col min="7" max="7" width="8.88671875" style="83" bestFit="1" customWidth="1"/>
    <col min="8" max="8" width="7.109375" style="83" bestFit="1" customWidth="1"/>
    <col min="9" max="11" width="6.44140625" style="83" bestFit="1" customWidth="1"/>
    <col min="12" max="12" width="14.88671875" style="83" bestFit="1" customWidth="1"/>
    <col min="13" max="14" width="3.6640625" style="83" customWidth="1"/>
    <col min="15" max="16" width="12.109375" style="83" customWidth="1"/>
    <col min="17" max="22" width="3.33203125" style="83" bestFit="1" customWidth="1"/>
    <col min="23" max="23" width="3.33203125" style="83" customWidth="1"/>
    <col min="24" max="24" width="16.109375" style="84" customWidth="1"/>
    <col min="25" max="26" width="3.33203125" style="85" bestFit="1" customWidth="1"/>
    <col min="27" max="27" width="4.6640625" style="83" customWidth="1"/>
    <col min="28" max="28" width="3.33203125" style="85" bestFit="1" customWidth="1"/>
    <col min="29" max="29" width="12.109375" style="85" customWidth="1"/>
    <col min="30" max="30" width="9.6640625" style="85" customWidth="1"/>
    <col min="31" max="31" width="9.6640625" style="83" customWidth="1"/>
    <col min="32" max="32" width="17.6640625" style="84" customWidth="1"/>
    <col min="33" max="36" width="3.33203125" style="83" customWidth="1"/>
    <col min="37" max="37" width="4" style="83" customWidth="1"/>
    <col min="38" max="42" width="3.33203125" style="83" customWidth="1"/>
    <col min="43" max="43" width="4.5546875" style="83" customWidth="1"/>
    <col min="44" max="45" width="3.33203125" style="83" customWidth="1"/>
    <col min="46" max="50" width="4.5546875" style="83" customWidth="1"/>
    <col min="51" max="51" width="3.33203125" style="83" customWidth="1"/>
    <col min="52" max="57" width="4.5546875" style="83" customWidth="1"/>
    <col min="58" max="58" width="6.44140625" style="83" customWidth="1"/>
    <col min="59" max="120" width="4.5546875" style="83" customWidth="1"/>
    <col min="121" max="121" width="5.6640625" style="83" bestFit="1" customWidth="1"/>
    <col min="122" max="123" width="5.6640625" style="83" customWidth="1"/>
    <col min="124" max="125" width="11.6640625" style="83" customWidth="1"/>
    <col min="126" max="126" width="10.6640625" style="83" customWidth="1"/>
    <col min="127" max="129" width="5.6640625" style="83" customWidth="1"/>
    <col min="130" max="131" width="10.109375" style="83" customWidth="1"/>
    <col min="132" max="133" width="10.6640625" style="83" customWidth="1"/>
    <col min="134" max="134" width="10.6640625" style="82" customWidth="1"/>
    <col min="135" max="135" width="10.6640625" style="83" customWidth="1"/>
    <col min="136" max="137" width="10.6640625" style="82" customWidth="1"/>
    <col min="138" max="138" width="13.33203125" style="82" customWidth="1"/>
    <col min="139" max="139" width="12.5546875" style="82" customWidth="1"/>
    <col min="140" max="140" width="10.44140625" style="82" customWidth="1"/>
    <col min="141" max="157" width="9.109375" style="86"/>
    <col min="158" max="158" width="16.109375" style="86" customWidth="1"/>
    <col min="159" max="159" width="12.88671875" style="86" customWidth="1"/>
    <col min="160" max="160" width="16.109375" style="86" customWidth="1"/>
    <col min="161" max="161" width="48.5546875" style="86" customWidth="1"/>
    <col min="162" max="162" width="12.44140625" style="86" customWidth="1"/>
    <col min="163" max="163" width="9.6640625" style="86" customWidth="1"/>
    <col min="164" max="164" width="11" style="86" customWidth="1"/>
    <col min="165" max="165" width="6.5546875" style="86" customWidth="1"/>
    <col min="166" max="166" width="7.44140625" style="86" customWidth="1"/>
    <col min="167" max="167" width="6.6640625" style="86" customWidth="1"/>
    <col min="168" max="168" width="12.5546875" style="86" customWidth="1"/>
    <col min="169" max="169" width="8.5546875" style="86" customWidth="1"/>
    <col min="170" max="170" width="9.109375" style="86" customWidth="1"/>
    <col min="171" max="171" width="13.88671875" style="86" customWidth="1"/>
    <col min="172" max="172" width="14" style="86" customWidth="1"/>
    <col min="173" max="173" width="4.5546875" style="86" customWidth="1"/>
    <col min="174" max="174" width="5.109375" style="86" customWidth="1"/>
    <col min="175" max="175" width="5" style="86" customWidth="1"/>
    <col min="176" max="176" width="6" style="86" customWidth="1"/>
    <col min="177" max="177" width="5.6640625" style="86" customWidth="1"/>
    <col min="178" max="178" width="4.88671875" style="86" customWidth="1"/>
    <col min="179" max="179" width="3.33203125" style="86" customWidth="1"/>
    <col min="180" max="180" width="38" style="86" customWidth="1"/>
    <col min="181" max="181" width="5.5546875" style="86" customWidth="1"/>
    <col min="182" max="182" width="5.33203125" style="86" customWidth="1"/>
    <col min="183" max="183" width="7.88671875" style="86" customWidth="1"/>
    <col min="184" max="184" width="5.6640625" style="86" customWidth="1"/>
    <col min="185" max="185" width="12.33203125" style="86" customWidth="1"/>
    <col min="186" max="186" width="10.44140625" style="86" customWidth="1"/>
    <col min="187" max="187" width="11.44140625" style="86" customWidth="1"/>
    <col min="188" max="188" width="24.88671875" style="86" customWidth="1"/>
    <col min="189" max="192" width="3.33203125" style="86" customWidth="1"/>
    <col min="193" max="193" width="4" style="86" customWidth="1"/>
    <col min="194" max="198" width="3.33203125" style="86" customWidth="1"/>
    <col min="199" max="199" width="4.5546875" style="86" customWidth="1"/>
    <col min="200" max="200" width="3.33203125" style="86" customWidth="1"/>
    <col min="201" max="203" width="4.5546875" style="86" customWidth="1"/>
    <col min="204" max="204" width="3.33203125" style="86" customWidth="1"/>
    <col min="205" max="210" width="4.5546875" style="86" customWidth="1"/>
    <col min="211" max="211" width="6.44140625" style="86" customWidth="1"/>
    <col min="212" max="222" width="4.5546875" style="86" customWidth="1"/>
    <col min="223" max="224" width="5.6640625" style="86" customWidth="1"/>
    <col min="225" max="225" width="9" style="86" customWidth="1"/>
    <col min="226" max="226" width="10" style="86" customWidth="1"/>
    <col min="227" max="227" width="8.5546875" style="86" customWidth="1"/>
    <col min="228" max="228" width="13" style="86" customWidth="1"/>
    <col min="229" max="229" width="13.109375" style="86" customWidth="1"/>
    <col min="230" max="230" width="10.44140625" style="86" customWidth="1"/>
    <col min="231" max="231" width="9.33203125" style="86" customWidth="1"/>
    <col min="232" max="232" width="9.44140625" style="86" customWidth="1"/>
    <col min="233" max="233" width="8.109375" style="86" customWidth="1"/>
    <col min="234" max="234" width="11.6640625" style="86" customWidth="1"/>
    <col min="235" max="235" width="11.33203125" style="86" customWidth="1"/>
    <col min="236" max="236" width="10.6640625" style="86" customWidth="1"/>
    <col min="237" max="237" width="20.5546875" style="86" bestFit="1" customWidth="1"/>
    <col min="238" max="238" width="11.44140625" style="86" customWidth="1"/>
    <col min="239" max="239" width="9.109375" style="86"/>
    <col min="240" max="240" width="10" style="86" customWidth="1"/>
    <col min="241" max="241" width="12.5546875" style="86" customWidth="1"/>
    <col min="242" max="242" width="10.44140625" style="86" customWidth="1"/>
    <col min="243" max="413" width="9.109375" style="86"/>
    <col min="414" max="414" width="16.109375" style="86" customWidth="1"/>
    <col min="415" max="415" width="12.88671875" style="86" customWidth="1"/>
    <col min="416" max="416" width="16.109375" style="86" customWidth="1"/>
    <col min="417" max="417" width="48.5546875" style="86" customWidth="1"/>
    <col min="418" max="418" width="12.44140625" style="86" customWidth="1"/>
    <col min="419" max="419" width="9.6640625" style="86" customWidth="1"/>
    <col min="420" max="420" width="11" style="86" customWidth="1"/>
    <col min="421" max="421" width="6.5546875" style="86" customWidth="1"/>
    <col min="422" max="422" width="7.44140625" style="86" customWidth="1"/>
    <col min="423" max="423" width="6.6640625" style="86" customWidth="1"/>
    <col min="424" max="424" width="12.5546875" style="86" customWidth="1"/>
    <col min="425" max="425" width="8.5546875" style="86" customWidth="1"/>
    <col min="426" max="426" width="9.109375" style="86" customWidth="1"/>
    <col min="427" max="427" width="13.88671875" style="86" customWidth="1"/>
    <col min="428" max="428" width="14" style="86" customWidth="1"/>
    <col min="429" max="429" width="4.5546875" style="86" customWidth="1"/>
    <col min="430" max="430" width="5.109375" style="86" customWidth="1"/>
    <col min="431" max="431" width="5" style="86" customWidth="1"/>
    <col min="432" max="432" width="6" style="86" customWidth="1"/>
    <col min="433" max="433" width="5.6640625" style="86" customWidth="1"/>
    <col min="434" max="434" width="4.88671875" style="86" customWidth="1"/>
    <col min="435" max="435" width="3.33203125" style="86" customWidth="1"/>
    <col min="436" max="436" width="38" style="86" customWidth="1"/>
    <col min="437" max="437" width="5.5546875" style="86" customWidth="1"/>
    <col min="438" max="438" width="5.33203125" style="86" customWidth="1"/>
    <col min="439" max="439" width="7.88671875" style="86" customWidth="1"/>
    <col min="440" max="440" width="5.6640625" style="86" customWidth="1"/>
    <col min="441" max="441" width="12.33203125" style="86" customWidth="1"/>
    <col min="442" max="442" width="10.44140625" style="86" customWidth="1"/>
    <col min="443" max="443" width="11.44140625" style="86" customWidth="1"/>
    <col min="444" max="444" width="24.88671875" style="86" customWidth="1"/>
    <col min="445" max="448" width="3.33203125" style="86" customWidth="1"/>
    <col min="449" max="449" width="4" style="86" customWidth="1"/>
    <col min="450" max="454" width="3.33203125" style="86" customWidth="1"/>
    <col min="455" max="455" width="4.5546875" style="86" customWidth="1"/>
    <col min="456" max="456" width="3.33203125" style="86" customWidth="1"/>
    <col min="457" max="459" width="4.5546875" style="86" customWidth="1"/>
    <col min="460" max="460" width="3.33203125" style="86" customWidth="1"/>
    <col min="461" max="466" width="4.5546875" style="86" customWidth="1"/>
    <col min="467" max="467" width="6.44140625" style="86" customWidth="1"/>
    <col min="468" max="478" width="4.5546875" style="86" customWidth="1"/>
    <col min="479" max="480" width="5.6640625" style="86" customWidth="1"/>
    <col min="481" max="481" width="9" style="86" customWidth="1"/>
    <col min="482" max="482" width="10" style="86" customWidth="1"/>
    <col min="483" max="483" width="8.5546875" style="86" customWidth="1"/>
    <col min="484" max="484" width="13" style="86" customWidth="1"/>
    <col min="485" max="485" width="13.109375" style="86" customWidth="1"/>
    <col min="486" max="486" width="10.44140625" style="86" customWidth="1"/>
    <col min="487" max="487" width="9.33203125" style="86" customWidth="1"/>
    <col min="488" max="488" width="9.44140625" style="86" customWidth="1"/>
    <col min="489" max="489" width="8.109375" style="86" customWidth="1"/>
    <col min="490" max="490" width="11.6640625" style="86" customWidth="1"/>
    <col min="491" max="491" width="11.33203125" style="86" customWidth="1"/>
    <col min="492" max="492" width="10.6640625" style="86" customWidth="1"/>
    <col min="493" max="493" width="20.5546875" style="86" bestFit="1" customWidth="1"/>
    <col min="494" max="494" width="11.44140625" style="86" customWidth="1"/>
    <col min="495" max="495" width="9.109375" style="86"/>
    <col min="496" max="496" width="10" style="86" customWidth="1"/>
    <col min="497" max="497" width="12.5546875" style="86" customWidth="1"/>
    <col min="498" max="498" width="10.44140625" style="86" customWidth="1"/>
    <col min="499" max="669" width="9.109375" style="86"/>
    <col min="670" max="670" width="16.109375" style="86" customWidth="1"/>
    <col min="671" max="671" width="12.88671875" style="86" customWidth="1"/>
    <col min="672" max="672" width="16.109375" style="86" customWidth="1"/>
    <col min="673" max="673" width="48.5546875" style="86" customWidth="1"/>
    <col min="674" max="674" width="12.44140625" style="86" customWidth="1"/>
    <col min="675" max="675" width="9.6640625" style="86" customWidth="1"/>
    <col min="676" max="676" width="11" style="86" customWidth="1"/>
    <col min="677" max="677" width="6.5546875" style="86" customWidth="1"/>
    <col min="678" max="678" width="7.44140625" style="86" customWidth="1"/>
    <col min="679" max="679" width="6.6640625" style="86" customWidth="1"/>
    <col min="680" max="680" width="12.5546875" style="86" customWidth="1"/>
    <col min="681" max="681" width="8.5546875" style="86" customWidth="1"/>
    <col min="682" max="682" width="9.109375" style="86" customWidth="1"/>
    <col min="683" max="683" width="13.88671875" style="86" customWidth="1"/>
    <col min="684" max="684" width="14" style="86" customWidth="1"/>
    <col min="685" max="685" width="4.5546875" style="86" customWidth="1"/>
    <col min="686" max="686" width="5.109375" style="86" customWidth="1"/>
    <col min="687" max="687" width="5" style="86" customWidth="1"/>
    <col min="688" max="688" width="6" style="86" customWidth="1"/>
    <col min="689" max="689" width="5.6640625" style="86" customWidth="1"/>
    <col min="690" max="690" width="4.88671875" style="86" customWidth="1"/>
    <col min="691" max="691" width="3.33203125" style="86" customWidth="1"/>
    <col min="692" max="692" width="38" style="86" customWidth="1"/>
    <col min="693" max="693" width="5.5546875" style="86" customWidth="1"/>
    <col min="694" max="694" width="5.33203125" style="86" customWidth="1"/>
    <col min="695" max="695" width="7.88671875" style="86" customWidth="1"/>
    <col min="696" max="696" width="5.6640625" style="86" customWidth="1"/>
    <col min="697" max="697" width="12.33203125" style="86" customWidth="1"/>
    <col min="698" max="698" width="10.44140625" style="86" customWidth="1"/>
    <col min="699" max="699" width="11.44140625" style="86" customWidth="1"/>
    <col min="700" max="700" width="24.88671875" style="86" customWidth="1"/>
    <col min="701" max="704" width="3.33203125" style="86" customWidth="1"/>
    <col min="705" max="705" width="4" style="86" customWidth="1"/>
    <col min="706" max="710" width="3.33203125" style="86" customWidth="1"/>
    <col min="711" max="711" width="4.5546875" style="86" customWidth="1"/>
    <col min="712" max="712" width="3.33203125" style="86" customWidth="1"/>
    <col min="713" max="715" width="4.5546875" style="86" customWidth="1"/>
    <col min="716" max="716" width="3.33203125" style="86" customWidth="1"/>
    <col min="717" max="722" width="4.5546875" style="86" customWidth="1"/>
    <col min="723" max="723" width="6.44140625" style="86" customWidth="1"/>
    <col min="724" max="734" width="4.5546875" style="86" customWidth="1"/>
    <col min="735" max="736" width="5.6640625" style="86" customWidth="1"/>
    <col min="737" max="737" width="9" style="86" customWidth="1"/>
    <col min="738" max="738" width="10" style="86" customWidth="1"/>
    <col min="739" max="739" width="8.5546875" style="86" customWidth="1"/>
    <col min="740" max="740" width="13" style="86" customWidth="1"/>
    <col min="741" max="741" width="13.109375" style="86" customWidth="1"/>
    <col min="742" max="742" width="10.44140625" style="86" customWidth="1"/>
    <col min="743" max="743" width="9.33203125" style="86" customWidth="1"/>
    <col min="744" max="744" width="9.44140625" style="86" customWidth="1"/>
    <col min="745" max="745" width="8.109375" style="86" customWidth="1"/>
    <col min="746" max="746" width="11.6640625" style="86" customWidth="1"/>
    <col min="747" max="747" width="11.33203125" style="86" customWidth="1"/>
    <col min="748" max="748" width="10.6640625" style="86" customWidth="1"/>
    <col min="749" max="749" width="20.5546875" style="86" bestFit="1" customWidth="1"/>
    <col min="750" max="750" width="11.44140625" style="86" customWidth="1"/>
    <col min="751" max="751" width="9.109375" style="86"/>
    <col min="752" max="752" width="10" style="86" customWidth="1"/>
    <col min="753" max="753" width="12.5546875" style="86" customWidth="1"/>
    <col min="754" max="754" width="10.44140625" style="86" customWidth="1"/>
    <col min="755" max="925" width="9.109375" style="86"/>
    <col min="926" max="926" width="16.109375" style="86" customWidth="1"/>
    <col min="927" max="927" width="12.88671875" style="86" customWidth="1"/>
    <col min="928" max="928" width="16.109375" style="86" customWidth="1"/>
    <col min="929" max="929" width="48.5546875" style="86" customWidth="1"/>
    <col min="930" max="930" width="12.44140625" style="86" customWidth="1"/>
    <col min="931" max="931" width="9.6640625" style="86" customWidth="1"/>
    <col min="932" max="932" width="11" style="86" customWidth="1"/>
    <col min="933" max="933" width="6.5546875" style="86" customWidth="1"/>
    <col min="934" max="934" width="7.44140625" style="86" customWidth="1"/>
    <col min="935" max="935" width="6.6640625" style="86" customWidth="1"/>
    <col min="936" max="936" width="12.5546875" style="86" customWidth="1"/>
    <col min="937" max="937" width="8.5546875" style="86" customWidth="1"/>
    <col min="938" max="938" width="9.109375" style="86" customWidth="1"/>
    <col min="939" max="939" width="13.88671875" style="86" customWidth="1"/>
    <col min="940" max="940" width="14" style="86" customWidth="1"/>
    <col min="941" max="941" width="4.5546875" style="86" customWidth="1"/>
    <col min="942" max="942" width="5.109375" style="86" customWidth="1"/>
    <col min="943" max="943" width="5" style="86" customWidth="1"/>
    <col min="944" max="944" width="6" style="86" customWidth="1"/>
    <col min="945" max="945" width="5.6640625" style="86" customWidth="1"/>
    <col min="946" max="946" width="4.88671875" style="86" customWidth="1"/>
    <col min="947" max="947" width="3.33203125" style="86" customWidth="1"/>
    <col min="948" max="948" width="38" style="86" customWidth="1"/>
    <col min="949" max="949" width="5.5546875" style="86" customWidth="1"/>
    <col min="950" max="950" width="5.33203125" style="86" customWidth="1"/>
    <col min="951" max="951" width="7.88671875" style="86" customWidth="1"/>
    <col min="952" max="952" width="5.6640625" style="86" customWidth="1"/>
    <col min="953" max="953" width="12.33203125" style="86" customWidth="1"/>
    <col min="954" max="954" width="10.44140625" style="86" customWidth="1"/>
    <col min="955" max="955" width="11.44140625" style="86" customWidth="1"/>
    <col min="956" max="956" width="24.88671875" style="86" customWidth="1"/>
    <col min="957" max="960" width="3.33203125" style="86" customWidth="1"/>
    <col min="961" max="961" width="4" style="86" customWidth="1"/>
    <col min="962" max="966" width="3.33203125" style="86" customWidth="1"/>
    <col min="967" max="967" width="4.5546875" style="86" customWidth="1"/>
    <col min="968" max="968" width="3.33203125" style="86" customWidth="1"/>
    <col min="969" max="971" width="4.5546875" style="86" customWidth="1"/>
    <col min="972" max="972" width="3.33203125" style="86" customWidth="1"/>
    <col min="973" max="978" width="4.5546875" style="86" customWidth="1"/>
    <col min="979" max="979" width="6.44140625" style="86" customWidth="1"/>
    <col min="980" max="990" width="4.5546875" style="86" customWidth="1"/>
    <col min="991" max="992" width="5.6640625" style="86" customWidth="1"/>
    <col min="993" max="993" width="9" style="86" customWidth="1"/>
    <col min="994" max="994" width="10" style="86" customWidth="1"/>
    <col min="995" max="995" width="8.5546875" style="86" customWidth="1"/>
    <col min="996" max="996" width="13" style="86" customWidth="1"/>
    <col min="997" max="997" width="13.109375" style="86" customWidth="1"/>
    <col min="998" max="998" width="10.44140625" style="86" customWidth="1"/>
    <col min="999" max="999" width="9.33203125" style="86" customWidth="1"/>
    <col min="1000" max="1000" width="9.44140625" style="86" customWidth="1"/>
    <col min="1001" max="1001" width="8.109375" style="86" customWidth="1"/>
    <col min="1002" max="1002" width="11.6640625" style="86" customWidth="1"/>
    <col min="1003" max="1003" width="11.33203125" style="86" customWidth="1"/>
    <col min="1004" max="1004" width="10.6640625" style="86" customWidth="1"/>
    <col min="1005" max="1005" width="20.5546875" style="86" bestFit="1" customWidth="1"/>
    <col min="1006" max="1006" width="11.44140625" style="86" customWidth="1"/>
    <col min="1007" max="1007" width="9.109375" style="86"/>
    <col min="1008" max="1008" width="10" style="86" customWidth="1"/>
    <col min="1009" max="1009" width="12.5546875" style="86" customWidth="1"/>
    <col min="1010" max="1010" width="10.44140625" style="86" customWidth="1"/>
    <col min="1011" max="1181" width="9.109375" style="86"/>
    <col min="1182" max="1182" width="16.109375" style="86" customWidth="1"/>
    <col min="1183" max="1183" width="12.88671875" style="86" customWidth="1"/>
    <col min="1184" max="1184" width="16.109375" style="86" customWidth="1"/>
    <col min="1185" max="1185" width="48.5546875" style="86" customWidth="1"/>
    <col min="1186" max="1186" width="12.44140625" style="86" customWidth="1"/>
    <col min="1187" max="1187" width="9.6640625" style="86" customWidth="1"/>
    <col min="1188" max="1188" width="11" style="86" customWidth="1"/>
    <col min="1189" max="1189" width="6.5546875" style="86" customWidth="1"/>
    <col min="1190" max="1190" width="7.44140625" style="86" customWidth="1"/>
    <col min="1191" max="1191" width="6.6640625" style="86" customWidth="1"/>
    <col min="1192" max="1192" width="12.5546875" style="86" customWidth="1"/>
    <col min="1193" max="1193" width="8.5546875" style="86" customWidth="1"/>
    <col min="1194" max="1194" width="9.109375" style="86" customWidth="1"/>
    <col min="1195" max="1195" width="13.88671875" style="86" customWidth="1"/>
    <col min="1196" max="1196" width="14" style="86" customWidth="1"/>
    <col min="1197" max="1197" width="4.5546875" style="86" customWidth="1"/>
    <col min="1198" max="1198" width="5.109375" style="86" customWidth="1"/>
    <col min="1199" max="1199" width="5" style="86" customWidth="1"/>
    <col min="1200" max="1200" width="6" style="86" customWidth="1"/>
    <col min="1201" max="1201" width="5.6640625" style="86" customWidth="1"/>
    <col min="1202" max="1202" width="4.88671875" style="86" customWidth="1"/>
    <col min="1203" max="1203" width="3.33203125" style="86" customWidth="1"/>
    <col min="1204" max="1204" width="38" style="86" customWidth="1"/>
    <col min="1205" max="1205" width="5.5546875" style="86" customWidth="1"/>
    <col min="1206" max="1206" width="5.33203125" style="86" customWidth="1"/>
    <col min="1207" max="1207" width="7.88671875" style="86" customWidth="1"/>
    <col min="1208" max="1208" width="5.6640625" style="86" customWidth="1"/>
    <col min="1209" max="1209" width="12.33203125" style="86" customWidth="1"/>
    <col min="1210" max="1210" width="10.44140625" style="86" customWidth="1"/>
    <col min="1211" max="1211" width="11.44140625" style="86" customWidth="1"/>
    <col min="1212" max="1212" width="24.88671875" style="86" customWidth="1"/>
    <col min="1213" max="1216" width="3.33203125" style="86" customWidth="1"/>
    <col min="1217" max="1217" width="4" style="86" customWidth="1"/>
    <col min="1218" max="1222" width="3.33203125" style="86" customWidth="1"/>
    <col min="1223" max="1223" width="4.5546875" style="86" customWidth="1"/>
    <col min="1224" max="1224" width="3.33203125" style="86" customWidth="1"/>
    <col min="1225" max="1227" width="4.5546875" style="86" customWidth="1"/>
    <col min="1228" max="1228" width="3.33203125" style="86" customWidth="1"/>
    <col min="1229" max="1234" width="4.5546875" style="86" customWidth="1"/>
    <col min="1235" max="1235" width="6.44140625" style="86" customWidth="1"/>
    <col min="1236" max="1246" width="4.5546875" style="86" customWidth="1"/>
    <col min="1247" max="1248" width="5.6640625" style="86" customWidth="1"/>
    <col min="1249" max="1249" width="9" style="86" customWidth="1"/>
    <col min="1250" max="1250" width="10" style="86" customWidth="1"/>
    <col min="1251" max="1251" width="8.5546875" style="86" customWidth="1"/>
    <col min="1252" max="1252" width="13" style="86" customWidth="1"/>
    <col min="1253" max="1253" width="13.109375" style="86" customWidth="1"/>
    <col min="1254" max="1254" width="10.44140625" style="86" customWidth="1"/>
    <col min="1255" max="1255" width="9.33203125" style="86" customWidth="1"/>
    <col min="1256" max="1256" width="9.44140625" style="86" customWidth="1"/>
    <col min="1257" max="1257" width="8.109375" style="86" customWidth="1"/>
    <col min="1258" max="1258" width="11.6640625" style="86" customWidth="1"/>
    <col min="1259" max="1259" width="11.33203125" style="86" customWidth="1"/>
    <col min="1260" max="1260" width="10.6640625" style="86" customWidth="1"/>
    <col min="1261" max="1261" width="20.5546875" style="86" bestFit="1" customWidth="1"/>
    <col min="1262" max="1262" width="11.44140625" style="86" customWidth="1"/>
    <col min="1263" max="1263" width="9.109375" style="86"/>
    <col min="1264" max="1264" width="10" style="86" customWidth="1"/>
    <col min="1265" max="1265" width="12.5546875" style="86" customWidth="1"/>
    <col min="1266" max="1266" width="10.44140625" style="86" customWidth="1"/>
    <col min="1267" max="1437" width="9.109375" style="86"/>
    <col min="1438" max="1438" width="16.109375" style="86" customWidth="1"/>
    <col min="1439" max="1439" width="12.88671875" style="86" customWidth="1"/>
    <col min="1440" max="1440" width="16.109375" style="86" customWidth="1"/>
    <col min="1441" max="1441" width="48.5546875" style="86" customWidth="1"/>
    <col min="1442" max="1442" width="12.44140625" style="86" customWidth="1"/>
    <col min="1443" max="1443" width="9.6640625" style="86" customWidth="1"/>
    <col min="1444" max="1444" width="11" style="86" customWidth="1"/>
    <col min="1445" max="1445" width="6.5546875" style="86" customWidth="1"/>
    <col min="1446" max="1446" width="7.44140625" style="86" customWidth="1"/>
    <col min="1447" max="1447" width="6.6640625" style="86" customWidth="1"/>
    <col min="1448" max="1448" width="12.5546875" style="86" customWidth="1"/>
    <col min="1449" max="1449" width="8.5546875" style="86" customWidth="1"/>
    <col min="1450" max="1450" width="9.109375" style="86" customWidth="1"/>
    <col min="1451" max="1451" width="13.88671875" style="86" customWidth="1"/>
    <col min="1452" max="1452" width="14" style="86" customWidth="1"/>
    <col min="1453" max="1453" width="4.5546875" style="86" customWidth="1"/>
    <col min="1454" max="1454" width="5.109375" style="86" customWidth="1"/>
    <col min="1455" max="1455" width="5" style="86" customWidth="1"/>
    <col min="1456" max="1456" width="6" style="86" customWidth="1"/>
    <col min="1457" max="1457" width="5.6640625" style="86" customWidth="1"/>
    <col min="1458" max="1458" width="4.88671875" style="86" customWidth="1"/>
    <col min="1459" max="1459" width="3.33203125" style="86" customWidth="1"/>
    <col min="1460" max="1460" width="38" style="86" customWidth="1"/>
    <col min="1461" max="1461" width="5.5546875" style="86" customWidth="1"/>
    <col min="1462" max="1462" width="5.33203125" style="86" customWidth="1"/>
    <col min="1463" max="1463" width="7.88671875" style="86" customWidth="1"/>
    <col min="1464" max="1464" width="5.6640625" style="86" customWidth="1"/>
    <col min="1465" max="1465" width="12.33203125" style="86" customWidth="1"/>
    <col min="1466" max="1466" width="10.44140625" style="86" customWidth="1"/>
    <col min="1467" max="1467" width="11.44140625" style="86" customWidth="1"/>
    <col min="1468" max="1468" width="24.88671875" style="86" customWidth="1"/>
    <col min="1469" max="1472" width="3.33203125" style="86" customWidth="1"/>
    <col min="1473" max="1473" width="4" style="86" customWidth="1"/>
    <col min="1474" max="1478" width="3.33203125" style="86" customWidth="1"/>
    <col min="1479" max="1479" width="4.5546875" style="86" customWidth="1"/>
    <col min="1480" max="1480" width="3.33203125" style="86" customWidth="1"/>
    <col min="1481" max="1483" width="4.5546875" style="86" customWidth="1"/>
    <col min="1484" max="1484" width="3.33203125" style="86" customWidth="1"/>
    <col min="1485" max="1490" width="4.5546875" style="86" customWidth="1"/>
    <col min="1491" max="1491" width="6.44140625" style="86" customWidth="1"/>
    <col min="1492" max="1502" width="4.5546875" style="86" customWidth="1"/>
    <col min="1503" max="1504" width="5.6640625" style="86" customWidth="1"/>
    <col min="1505" max="1505" width="9" style="86" customWidth="1"/>
    <col min="1506" max="1506" width="10" style="86" customWidth="1"/>
    <col min="1507" max="1507" width="8.5546875" style="86" customWidth="1"/>
    <col min="1508" max="1508" width="13" style="86" customWidth="1"/>
    <col min="1509" max="1509" width="13.109375" style="86" customWidth="1"/>
    <col min="1510" max="1510" width="10.44140625" style="86" customWidth="1"/>
    <col min="1511" max="1511" width="9.33203125" style="86" customWidth="1"/>
    <col min="1512" max="1512" width="9.44140625" style="86" customWidth="1"/>
    <col min="1513" max="1513" width="8.109375" style="86" customWidth="1"/>
    <col min="1514" max="1514" width="11.6640625" style="86" customWidth="1"/>
    <col min="1515" max="1515" width="11.33203125" style="86" customWidth="1"/>
    <col min="1516" max="1516" width="10.6640625" style="86" customWidth="1"/>
    <col min="1517" max="1517" width="20.5546875" style="86" bestFit="1" customWidth="1"/>
    <col min="1518" max="1518" width="11.44140625" style="86" customWidth="1"/>
    <col min="1519" max="1519" width="9.109375" style="86"/>
    <col min="1520" max="1520" width="10" style="86" customWidth="1"/>
    <col min="1521" max="1521" width="12.5546875" style="86" customWidth="1"/>
    <col min="1522" max="1522" width="10.44140625" style="86" customWidth="1"/>
    <col min="1523" max="1693" width="9.109375" style="86"/>
    <col min="1694" max="1694" width="16.109375" style="86" customWidth="1"/>
    <col min="1695" max="1695" width="12.88671875" style="86" customWidth="1"/>
    <col min="1696" max="1696" width="16.109375" style="86" customWidth="1"/>
    <col min="1697" max="1697" width="48.5546875" style="86" customWidth="1"/>
    <col min="1698" max="1698" width="12.44140625" style="86" customWidth="1"/>
    <col min="1699" max="1699" width="9.6640625" style="86" customWidth="1"/>
    <col min="1700" max="1700" width="11" style="86" customWidth="1"/>
    <col min="1701" max="1701" width="6.5546875" style="86" customWidth="1"/>
    <col min="1702" max="1702" width="7.44140625" style="86" customWidth="1"/>
    <col min="1703" max="1703" width="6.6640625" style="86" customWidth="1"/>
    <col min="1704" max="1704" width="12.5546875" style="86" customWidth="1"/>
    <col min="1705" max="1705" width="8.5546875" style="86" customWidth="1"/>
    <col min="1706" max="1706" width="9.109375" style="86" customWidth="1"/>
    <col min="1707" max="1707" width="13.88671875" style="86" customWidth="1"/>
    <col min="1708" max="1708" width="14" style="86" customWidth="1"/>
    <col min="1709" max="1709" width="4.5546875" style="86" customWidth="1"/>
    <col min="1710" max="1710" width="5.109375" style="86" customWidth="1"/>
    <col min="1711" max="1711" width="5" style="86" customWidth="1"/>
    <col min="1712" max="1712" width="6" style="86" customWidth="1"/>
    <col min="1713" max="1713" width="5.6640625" style="86" customWidth="1"/>
    <col min="1714" max="1714" width="4.88671875" style="86" customWidth="1"/>
    <col min="1715" max="1715" width="3.33203125" style="86" customWidth="1"/>
    <col min="1716" max="1716" width="38" style="86" customWidth="1"/>
    <col min="1717" max="1717" width="5.5546875" style="86" customWidth="1"/>
    <col min="1718" max="1718" width="5.33203125" style="86" customWidth="1"/>
    <col min="1719" max="1719" width="7.88671875" style="86" customWidth="1"/>
    <col min="1720" max="1720" width="5.6640625" style="86" customWidth="1"/>
    <col min="1721" max="1721" width="12.33203125" style="86" customWidth="1"/>
    <col min="1722" max="1722" width="10.44140625" style="86" customWidth="1"/>
    <col min="1723" max="1723" width="11.44140625" style="86" customWidth="1"/>
    <col min="1724" max="1724" width="24.88671875" style="86" customWidth="1"/>
    <col min="1725" max="1728" width="3.33203125" style="86" customWidth="1"/>
    <col min="1729" max="1729" width="4" style="86" customWidth="1"/>
    <col min="1730" max="1734" width="3.33203125" style="86" customWidth="1"/>
    <col min="1735" max="1735" width="4.5546875" style="86" customWidth="1"/>
    <col min="1736" max="1736" width="3.33203125" style="86" customWidth="1"/>
    <col min="1737" max="1739" width="4.5546875" style="86" customWidth="1"/>
    <col min="1740" max="1740" width="3.33203125" style="86" customWidth="1"/>
    <col min="1741" max="1746" width="4.5546875" style="86" customWidth="1"/>
    <col min="1747" max="1747" width="6.44140625" style="86" customWidth="1"/>
    <col min="1748" max="1758" width="4.5546875" style="86" customWidth="1"/>
    <col min="1759" max="1760" width="5.6640625" style="86" customWidth="1"/>
    <col min="1761" max="1761" width="9" style="86" customWidth="1"/>
    <col min="1762" max="1762" width="10" style="86" customWidth="1"/>
    <col min="1763" max="1763" width="8.5546875" style="86" customWidth="1"/>
    <col min="1764" max="1764" width="13" style="86" customWidth="1"/>
    <col min="1765" max="1765" width="13.109375" style="86" customWidth="1"/>
    <col min="1766" max="1766" width="10.44140625" style="86" customWidth="1"/>
    <col min="1767" max="1767" width="9.33203125" style="86" customWidth="1"/>
    <col min="1768" max="1768" width="9.44140625" style="86" customWidth="1"/>
    <col min="1769" max="1769" width="8.109375" style="86" customWidth="1"/>
    <col min="1770" max="1770" width="11.6640625" style="86" customWidth="1"/>
    <col min="1771" max="1771" width="11.33203125" style="86" customWidth="1"/>
    <col min="1772" max="1772" width="10.6640625" style="86" customWidth="1"/>
    <col min="1773" max="1773" width="20.5546875" style="86" bestFit="1" customWidth="1"/>
    <col min="1774" max="1774" width="11.44140625" style="86" customWidth="1"/>
    <col min="1775" max="1775" width="9.109375" style="86"/>
    <col min="1776" max="1776" width="10" style="86" customWidth="1"/>
    <col min="1777" max="1777" width="12.5546875" style="86" customWidth="1"/>
    <col min="1778" max="1778" width="10.44140625" style="86" customWidth="1"/>
    <col min="1779" max="1949" width="9.109375" style="86"/>
    <col min="1950" max="1950" width="16.109375" style="86" customWidth="1"/>
    <col min="1951" max="1951" width="12.88671875" style="86" customWidth="1"/>
    <col min="1952" max="1952" width="16.109375" style="86" customWidth="1"/>
    <col min="1953" max="1953" width="48.5546875" style="86" customWidth="1"/>
    <col min="1954" max="1954" width="12.44140625" style="86" customWidth="1"/>
    <col min="1955" max="1955" width="9.6640625" style="86" customWidth="1"/>
    <col min="1956" max="1956" width="11" style="86" customWidth="1"/>
    <col min="1957" max="1957" width="6.5546875" style="86" customWidth="1"/>
    <col min="1958" max="1958" width="7.44140625" style="86" customWidth="1"/>
    <col min="1959" max="1959" width="6.6640625" style="86" customWidth="1"/>
    <col min="1960" max="1960" width="12.5546875" style="86" customWidth="1"/>
    <col min="1961" max="1961" width="8.5546875" style="86" customWidth="1"/>
    <col min="1962" max="1962" width="9.109375" style="86" customWidth="1"/>
    <col min="1963" max="1963" width="13.88671875" style="86" customWidth="1"/>
    <col min="1964" max="1964" width="14" style="86" customWidth="1"/>
    <col min="1965" max="1965" width="4.5546875" style="86" customWidth="1"/>
    <col min="1966" max="1966" width="5.109375" style="86" customWidth="1"/>
    <col min="1967" max="1967" width="5" style="86" customWidth="1"/>
    <col min="1968" max="1968" width="6" style="86" customWidth="1"/>
    <col min="1969" max="1969" width="5.6640625" style="86" customWidth="1"/>
    <col min="1970" max="1970" width="4.88671875" style="86" customWidth="1"/>
    <col min="1971" max="1971" width="3.33203125" style="86" customWidth="1"/>
    <col min="1972" max="1972" width="38" style="86" customWidth="1"/>
    <col min="1973" max="1973" width="5.5546875" style="86" customWidth="1"/>
    <col min="1974" max="1974" width="5.33203125" style="86" customWidth="1"/>
    <col min="1975" max="1975" width="7.88671875" style="86" customWidth="1"/>
    <col min="1976" max="1976" width="5.6640625" style="86" customWidth="1"/>
    <col min="1977" max="1977" width="12.33203125" style="86" customWidth="1"/>
    <col min="1978" max="1978" width="10.44140625" style="86" customWidth="1"/>
    <col min="1979" max="1979" width="11.44140625" style="86" customWidth="1"/>
    <col min="1980" max="1980" width="24.88671875" style="86" customWidth="1"/>
    <col min="1981" max="1984" width="3.33203125" style="86" customWidth="1"/>
    <col min="1985" max="1985" width="4" style="86" customWidth="1"/>
    <col min="1986" max="1990" width="3.33203125" style="86" customWidth="1"/>
    <col min="1991" max="1991" width="4.5546875" style="86" customWidth="1"/>
    <col min="1992" max="1992" width="3.33203125" style="86" customWidth="1"/>
    <col min="1993" max="1995" width="4.5546875" style="86" customWidth="1"/>
    <col min="1996" max="1996" width="3.33203125" style="86" customWidth="1"/>
    <col min="1997" max="2002" width="4.5546875" style="86" customWidth="1"/>
    <col min="2003" max="2003" width="6.44140625" style="86" customWidth="1"/>
    <col min="2004" max="2014" width="4.5546875" style="86" customWidth="1"/>
    <col min="2015" max="2016" width="5.6640625" style="86" customWidth="1"/>
    <col min="2017" max="2017" width="9" style="86" customWidth="1"/>
    <col min="2018" max="2018" width="10" style="86" customWidth="1"/>
    <col min="2019" max="2019" width="8.5546875" style="86" customWidth="1"/>
    <col min="2020" max="2020" width="13" style="86" customWidth="1"/>
    <col min="2021" max="2021" width="13.109375" style="86" customWidth="1"/>
    <col min="2022" max="2022" width="10.44140625" style="86" customWidth="1"/>
    <col min="2023" max="2023" width="9.33203125" style="86" customWidth="1"/>
    <col min="2024" max="2024" width="9.44140625" style="86" customWidth="1"/>
    <col min="2025" max="2025" width="8.109375" style="86" customWidth="1"/>
    <col min="2026" max="2026" width="11.6640625" style="86" customWidth="1"/>
    <col min="2027" max="2027" width="11.33203125" style="86" customWidth="1"/>
    <col min="2028" max="2028" width="10.6640625" style="86" customWidth="1"/>
    <col min="2029" max="2029" width="20.5546875" style="86" bestFit="1" customWidth="1"/>
    <col min="2030" max="2030" width="11.44140625" style="86" customWidth="1"/>
    <col min="2031" max="2031" width="9.109375" style="86"/>
    <col min="2032" max="2032" width="10" style="86" customWidth="1"/>
    <col min="2033" max="2033" width="12.5546875" style="86" customWidth="1"/>
    <col min="2034" max="2034" width="10.44140625" style="86" customWidth="1"/>
    <col min="2035" max="2205" width="9.109375" style="86"/>
    <col min="2206" max="2206" width="16.109375" style="86" customWidth="1"/>
    <col min="2207" max="2207" width="12.88671875" style="86" customWidth="1"/>
    <col min="2208" max="2208" width="16.109375" style="86" customWidth="1"/>
    <col min="2209" max="2209" width="48.5546875" style="86" customWidth="1"/>
    <col min="2210" max="2210" width="12.44140625" style="86" customWidth="1"/>
    <col min="2211" max="2211" width="9.6640625" style="86" customWidth="1"/>
    <col min="2212" max="2212" width="11" style="86" customWidth="1"/>
    <col min="2213" max="2213" width="6.5546875" style="86" customWidth="1"/>
    <col min="2214" max="2214" width="7.44140625" style="86" customWidth="1"/>
    <col min="2215" max="2215" width="6.6640625" style="86" customWidth="1"/>
    <col min="2216" max="2216" width="12.5546875" style="86" customWidth="1"/>
    <col min="2217" max="2217" width="8.5546875" style="86" customWidth="1"/>
    <col min="2218" max="2218" width="9.109375" style="86" customWidth="1"/>
    <col min="2219" max="2219" width="13.88671875" style="86" customWidth="1"/>
    <col min="2220" max="2220" width="14" style="86" customWidth="1"/>
    <col min="2221" max="2221" width="4.5546875" style="86" customWidth="1"/>
    <col min="2222" max="2222" width="5.109375" style="86" customWidth="1"/>
    <col min="2223" max="2223" width="5" style="86" customWidth="1"/>
    <col min="2224" max="2224" width="6" style="86" customWidth="1"/>
    <col min="2225" max="2225" width="5.6640625" style="86" customWidth="1"/>
    <col min="2226" max="2226" width="4.88671875" style="86" customWidth="1"/>
    <col min="2227" max="2227" width="3.33203125" style="86" customWidth="1"/>
    <col min="2228" max="2228" width="38" style="86" customWidth="1"/>
    <col min="2229" max="2229" width="5.5546875" style="86" customWidth="1"/>
    <col min="2230" max="2230" width="5.33203125" style="86" customWidth="1"/>
    <col min="2231" max="2231" width="7.88671875" style="86" customWidth="1"/>
    <col min="2232" max="2232" width="5.6640625" style="86" customWidth="1"/>
    <col min="2233" max="2233" width="12.33203125" style="86" customWidth="1"/>
    <col min="2234" max="2234" width="10.44140625" style="86" customWidth="1"/>
    <col min="2235" max="2235" width="11.44140625" style="86" customWidth="1"/>
    <col min="2236" max="2236" width="24.88671875" style="86" customWidth="1"/>
    <col min="2237" max="2240" width="3.33203125" style="86" customWidth="1"/>
    <col min="2241" max="2241" width="4" style="86" customWidth="1"/>
    <col min="2242" max="2246" width="3.33203125" style="86" customWidth="1"/>
    <col min="2247" max="2247" width="4.5546875" style="86" customWidth="1"/>
    <col min="2248" max="2248" width="3.33203125" style="86" customWidth="1"/>
    <col min="2249" max="2251" width="4.5546875" style="86" customWidth="1"/>
    <col min="2252" max="2252" width="3.33203125" style="86" customWidth="1"/>
    <col min="2253" max="2258" width="4.5546875" style="86" customWidth="1"/>
    <col min="2259" max="2259" width="6.44140625" style="86" customWidth="1"/>
    <col min="2260" max="2270" width="4.5546875" style="86" customWidth="1"/>
    <col min="2271" max="2272" width="5.6640625" style="86" customWidth="1"/>
    <col min="2273" max="2273" width="9" style="86" customWidth="1"/>
    <col min="2274" max="2274" width="10" style="86" customWidth="1"/>
    <col min="2275" max="2275" width="8.5546875" style="86" customWidth="1"/>
    <col min="2276" max="2276" width="13" style="86" customWidth="1"/>
    <col min="2277" max="2277" width="13.109375" style="86" customWidth="1"/>
    <col min="2278" max="2278" width="10.44140625" style="86" customWidth="1"/>
    <col min="2279" max="2279" width="9.33203125" style="86" customWidth="1"/>
    <col min="2280" max="2280" width="9.44140625" style="86" customWidth="1"/>
    <col min="2281" max="2281" width="8.109375" style="86" customWidth="1"/>
    <col min="2282" max="2282" width="11.6640625" style="86" customWidth="1"/>
    <col min="2283" max="2283" width="11.33203125" style="86" customWidth="1"/>
    <col min="2284" max="2284" width="10.6640625" style="86" customWidth="1"/>
    <col min="2285" max="2285" width="20.5546875" style="86" bestFit="1" customWidth="1"/>
    <col min="2286" max="2286" width="11.44140625" style="86" customWidth="1"/>
    <col min="2287" max="2287" width="9.109375" style="86"/>
    <col min="2288" max="2288" width="10" style="86" customWidth="1"/>
    <col min="2289" max="2289" width="12.5546875" style="86" customWidth="1"/>
    <col min="2290" max="2290" width="10.44140625" style="86" customWidth="1"/>
    <col min="2291" max="2461" width="9.109375" style="86"/>
    <col min="2462" max="2462" width="16.109375" style="86" customWidth="1"/>
    <col min="2463" max="2463" width="12.88671875" style="86" customWidth="1"/>
    <col min="2464" max="2464" width="16.109375" style="86" customWidth="1"/>
    <col min="2465" max="2465" width="48.5546875" style="86" customWidth="1"/>
    <col min="2466" max="2466" width="12.44140625" style="86" customWidth="1"/>
    <col min="2467" max="2467" width="9.6640625" style="86" customWidth="1"/>
    <col min="2468" max="2468" width="11" style="86" customWidth="1"/>
    <col min="2469" max="2469" width="6.5546875" style="86" customWidth="1"/>
    <col min="2470" max="2470" width="7.44140625" style="86" customWidth="1"/>
    <col min="2471" max="2471" width="6.6640625" style="86" customWidth="1"/>
    <col min="2472" max="2472" width="12.5546875" style="86" customWidth="1"/>
    <col min="2473" max="2473" width="8.5546875" style="86" customWidth="1"/>
    <col min="2474" max="2474" width="9.109375" style="86" customWidth="1"/>
    <col min="2475" max="2475" width="13.88671875" style="86" customWidth="1"/>
    <col min="2476" max="2476" width="14" style="86" customWidth="1"/>
    <col min="2477" max="2477" width="4.5546875" style="86" customWidth="1"/>
    <col min="2478" max="2478" width="5.109375" style="86" customWidth="1"/>
    <col min="2479" max="2479" width="5" style="86" customWidth="1"/>
    <col min="2480" max="2480" width="6" style="86" customWidth="1"/>
    <col min="2481" max="2481" width="5.6640625" style="86" customWidth="1"/>
    <col min="2482" max="2482" width="4.88671875" style="86" customWidth="1"/>
    <col min="2483" max="2483" width="3.33203125" style="86" customWidth="1"/>
    <col min="2484" max="2484" width="38" style="86" customWidth="1"/>
    <col min="2485" max="2485" width="5.5546875" style="86" customWidth="1"/>
    <col min="2486" max="2486" width="5.33203125" style="86" customWidth="1"/>
    <col min="2487" max="2487" width="7.88671875" style="86" customWidth="1"/>
    <col min="2488" max="2488" width="5.6640625" style="86" customWidth="1"/>
    <col min="2489" max="2489" width="12.33203125" style="86" customWidth="1"/>
    <col min="2490" max="2490" width="10.44140625" style="86" customWidth="1"/>
    <col min="2491" max="2491" width="11.44140625" style="86" customWidth="1"/>
    <col min="2492" max="2492" width="24.88671875" style="86" customWidth="1"/>
    <col min="2493" max="2496" width="3.33203125" style="86" customWidth="1"/>
    <col min="2497" max="2497" width="4" style="86" customWidth="1"/>
    <col min="2498" max="2502" width="3.33203125" style="86" customWidth="1"/>
    <col min="2503" max="2503" width="4.5546875" style="86" customWidth="1"/>
    <col min="2504" max="2504" width="3.33203125" style="86" customWidth="1"/>
    <col min="2505" max="2507" width="4.5546875" style="86" customWidth="1"/>
    <col min="2508" max="2508" width="3.33203125" style="86" customWidth="1"/>
    <col min="2509" max="2514" width="4.5546875" style="86" customWidth="1"/>
    <col min="2515" max="2515" width="6.44140625" style="86" customWidth="1"/>
    <col min="2516" max="2526" width="4.5546875" style="86" customWidth="1"/>
    <col min="2527" max="2528" width="5.6640625" style="86" customWidth="1"/>
    <col min="2529" max="2529" width="9" style="86" customWidth="1"/>
    <col min="2530" max="2530" width="10" style="86" customWidth="1"/>
    <col min="2531" max="2531" width="8.5546875" style="86" customWidth="1"/>
    <col min="2532" max="2532" width="13" style="86" customWidth="1"/>
    <col min="2533" max="2533" width="13.109375" style="86" customWidth="1"/>
    <col min="2534" max="2534" width="10.44140625" style="86" customWidth="1"/>
    <col min="2535" max="2535" width="9.33203125" style="86" customWidth="1"/>
    <col min="2536" max="2536" width="9.44140625" style="86" customWidth="1"/>
    <col min="2537" max="2537" width="8.109375" style="86" customWidth="1"/>
    <col min="2538" max="2538" width="11.6640625" style="86" customWidth="1"/>
    <col min="2539" max="2539" width="11.33203125" style="86" customWidth="1"/>
    <col min="2540" max="2540" width="10.6640625" style="86" customWidth="1"/>
    <col min="2541" max="2541" width="20.5546875" style="86" bestFit="1" customWidth="1"/>
    <col min="2542" max="2542" width="11.44140625" style="86" customWidth="1"/>
    <col min="2543" max="2543" width="9.109375" style="86"/>
    <col min="2544" max="2544" width="10" style="86" customWidth="1"/>
    <col min="2545" max="2545" width="12.5546875" style="86" customWidth="1"/>
    <col min="2546" max="2546" width="10.44140625" style="86" customWidth="1"/>
    <col min="2547" max="2717" width="9.109375" style="86"/>
    <col min="2718" max="2718" width="16.109375" style="86" customWidth="1"/>
    <col min="2719" max="2719" width="12.88671875" style="86" customWidth="1"/>
    <col min="2720" max="2720" width="16.109375" style="86" customWidth="1"/>
    <col min="2721" max="2721" width="48.5546875" style="86" customWidth="1"/>
    <col min="2722" max="2722" width="12.44140625" style="86" customWidth="1"/>
    <col min="2723" max="2723" width="9.6640625" style="86" customWidth="1"/>
    <col min="2724" max="2724" width="11" style="86" customWidth="1"/>
    <col min="2725" max="2725" width="6.5546875" style="86" customWidth="1"/>
    <col min="2726" max="2726" width="7.44140625" style="86" customWidth="1"/>
    <col min="2727" max="2727" width="6.6640625" style="86" customWidth="1"/>
    <col min="2728" max="2728" width="12.5546875" style="86" customWidth="1"/>
    <col min="2729" max="2729" width="8.5546875" style="86" customWidth="1"/>
    <col min="2730" max="2730" width="9.109375" style="86" customWidth="1"/>
    <col min="2731" max="2731" width="13.88671875" style="86" customWidth="1"/>
    <col min="2732" max="2732" width="14" style="86" customWidth="1"/>
    <col min="2733" max="2733" width="4.5546875" style="86" customWidth="1"/>
    <col min="2734" max="2734" width="5.109375" style="86" customWidth="1"/>
    <col min="2735" max="2735" width="5" style="86" customWidth="1"/>
    <col min="2736" max="2736" width="6" style="86" customWidth="1"/>
    <col min="2737" max="2737" width="5.6640625" style="86" customWidth="1"/>
    <col min="2738" max="2738" width="4.88671875" style="86" customWidth="1"/>
    <col min="2739" max="2739" width="3.33203125" style="86" customWidth="1"/>
    <col min="2740" max="2740" width="38" style="86" customWidth="1"/>
    <col min="2741" max="2741" width="5.5546875" style="86" customWidth="1"/>
    <col min="2742" max="2742" width="5.33203125" style="86" customWidth="1"/>
    <col min="2743" max="2743" width="7.88671875" style="86" customWidth="1"/>
    <col min="2744" max="2744" width="5.6640625" style="86" customWidth="1"/>
    <col min="2745" max="2745" width="12.33203125" style="86" customWidth="1"/>
    <col min="2746" max="2746" width="10.44140625" style="86" customWidth="1"/>
    <col min="2747" max="2747" width="11.44140625" style="86" customWidth="1"/>
    <col min="2748" max="2748" width="24.88671875" style="86" customWidth="1"/>
    <col min="2749" max="2752" width="3.33203125" style="86" customWidth="1"/>
    <col min="2753" max="2753" width="4" style="86" customWidth="1"/>
    <col min="2754" max="2758" width="3.33203125" style="86" customWidth="1"/>
    <col min="2759" max="2759" width="4.5546875" style="86" customWidth="1"/>
    <col min="2760" max="2760" width="3.33203125" style="86" customWidth="1"/>
    <col min="2761" max="2763" width="4.5546875" style="86" customWidth="1"/>
    <col min="2764" max="2764" width="3.33203125" style="86" customWidth="1"/>
    <col min="2765" max="2770" width="4.5546875" style="86" customWidth="1"/>
    <col min="2771" max="2771" width="6.44140625" style="86" customWidth="1"/>
    <col min="2772" max="2782" width="4.5546875" style="86" customWidth="1"/>
    <col min="2783" max="2784" width="5.6640625" style="86" customWidth="1"/>
    <col min="2785" max="2785" width="9" style="86" customWidth="1"/>
    <col min="2786" max="2786" width="10" style="86" customWidth="1"/>
    <col min="2787" max="2787" width="8.5546875" style="86" customWidth="1"/>
    <col min="2788" max="2788" width="13" style="86" customWidth="1"/>
    <col min="2789" max="2789" width="13.109375" style="86" customWidth="1"/>
    <col min="2790" max="2790" width="10.44140625" style="86" customWidth="1"/>
    <col min="2791" max="2791" width="9.33203125" style="86" customWidth="1"/>
    <col min="2792" max="2792" width="9.44140625" style="86" customWidth="1"/>
    <col min="2793" max="2793" width="8.109375" style="86" customWidth="1"/>
    <col min="2794" max="2794" width="11.6640625" style="86" customWidth="1"/>
    <col min="2795" max="2795" width="11.33203125" style="86" customWidth="1"/>
    <col min="2796" max="2796" width="10.6640625" style="86" customWidth="1"/>
    <col min="2797" max="2797" width="20.5546875" style="86" bestFit="1" customWidth="1"/>
    <col min="2798" max="2798" width="11.44140625" style="86" customWidth="1"/>
    <col min="2799" max="2799" width="9.109375" style="86"/>
    <col min="2800" max="2800" width="10" style="86" customWidth="1"/>
    <col min="2801" max="2801" width="12.5546875" style="86" customWidth="1"/>
    <col min="2802" max="2802" width="10.44140625" style="86" customWidth="1"/>
    <col min="2803" max="2973" width="9.109375" style="86"/>
    <col min="2974" max="2974" width="16.109375" style="86" customWidth="1"/>
    <col min="2975" max="2975" width="12.88671875" style="86" customWidth="1"/>
    <col min="2976" max="2976" width="16.109375" style="86" customWidth="1"/>
    <col min="2977" max="2977" width="48.5546875" style="86" customWidth="1"/>
    <col min="2978" max="2978" width="12.44140625" style="86" customWidth="1"/>
    <col min="2979" max="2979" width="9.6640625" style="86" customWidth="1"/>
    <col min="2980" max="2980" width="11" style="86" customWidth="1"/>
    <col min="2981" max="2981" width="6.5546875" style="86" customWidth="1"/>
    <col min="2982" max="2982" width="7.44140625" style="86" customWidth="1"/>
    <col min="2983" max="2983" width="6.6640625" style="86" customWidth="1"/>
    <col min="2984" max="2984" width="12.5546875" style="86" customWidth="1"/>
    <col min="2985" max="2985" width="8.5546875" style="86" customWidth="1"/>
    <col min="2986" max="2986" width="9.109375" style="86" customWidth="1"/>
    <col min="2987" max="2987" width="13.88671875" style="86" customWidth="1"/>
    <col min="2988" max="2988" width="14" style="86" customWidth="1"/>
    <col min="2989" max="2989" width="4.5546875" style="86" customWidth="1"/>
    <col min="2990" max="2990" width="5.109375" style="86" customWidth="1"/>
    <col min="2991" max="2991" width="5" style="86" customWidth="1"/>
    <col min="2992" max="2992" width="6" style="86" customWidth="1"/>
    <col min="2993" max="2993" width="5.6640625" style="86" customWidth="1"/>
    <col min="2994" max="2994" width="4.88671875" style="86" customWidth="1"/>
    <col min="2995" max="2995" width="3.33203125" style="86" customWidth="1"/>
    <col min="2996" max="2996" width="38" style="86" customWidth="1"/>
    <col min="2997" max="2997" width="5.5546875" style="86" customWidth="1"/>
    <col min="2998" max="2998" width="5.33203125" style="86" customWidth="1"/>
    <col min="2999" max="2999" width="7.88671875" style="86" customWidth="1"/>
    <col min="3000" max="3000" width="5.6640625" style="86" customWidth="1"/>
    <col min="3001" max="3001" width="12.33203125" style="86" customWidth="1"/>
    <col min="3002" max="3002" width="10.44140625" style="86" customWidth="1"/>
    <col min="3003" max="3003" width="11.44140625" style="86" customWidth="1"/>
    <col min="3004" max="3004" width="24.88671875" style="86" customWidth="1"/>
    <col min="3005" max="3008" width="3.33203125" style="86" customWidth="1"/>
    <col min="3009" max="3009" width="4" style="86" customWidth="1"/>
    <col min="3010" max="3014" width="3.33203125" style="86" customWidth="1"/>
    <col min="3015" max="3015" width="4.5546875" style="86" customWidth="1"/>
    <col min="3016" max="3016" width="3.33203125" style="86" customWidth="1"/>
    <col min="3017" max="3019" width="4.5546875" style="86" customWidth="1"/>
    <col min="3020" max="3020" width="3.33203125" style="86" customWidth="1"/>
    <col min="3021" max="3026" width="4.5546875" style="86" customWidth="1"/>
    <col min="3027" max="3027" width="6.44140625" style="86" customWidth="1"/>
    <col min="3028" max="3038" width="4.5546875" style="86" customWidth="1"/>
    <col min="3039" max="3040" width="5.6640625" style="86" customWidth="1"/>
    <col min="3041" max="3041" width="9" style="86" customWidth="1"/>
    <col min="3042" max="3042" width="10" style="86" customWidth="1"/>
    <col min="3043" max="3043" width="8.5546875" style="86" customWidth="1"/>
    <col min="3044" max="3044" width="13" style="86" customWidth="1"/>
    <col min="3045" max="3045" width="13.109375" style="86" customWidth="1"/>
    <col min="3046" max="3046" width="10.44140625" style="86" customWidth="1"/>
    <col min="3047" max="3047" width="9.33203125" style="86" customWidth="1"/>
    <col min="3048" max="3048" width="9.44140625" style="86" customWidth="1"/>
    <col min="3049" max="3049" width="8.109375" style="86" customWidth="1"/>
    <col min="3050" max="3050" width="11.6640625" style="86" customWidth="1"/>
    <col min="3051" max="3051" width="11.33203125" style="86" customWidth="1"/>
    <col min="3052" max="3052" width="10.6640625" style="86" customWidth="1"/>
    <col min="3053" max="3053" width="20.5546875" style="86" bestFit="1" customWidth="1"/>
    <col min="3054" max="3054" width="11.44140625" style="86" customWidth="1"/>
    <col min="3055" max="3055" width="9.109375" style="86"/>
    <col min="3056" max="3056" width="10" style="86" customWidth="1"/>
    <col min="3057" max="3057" width="12.5546875" style="86" customWidth="1"/>
    <col min="3058" max="3058" width="10.44140625" style="86" customWidth="1"/>
    <col min="3059" max="3229" width="9.109375" style="86"/>
    <col min="3230" max="3230" width="16.109375" style="86" customWidth="1"/>
    <col min="3231" max="3231" width="12.88671875" style="86" customWidth="1"/>
    <col min="3232" max="3232" width="16.109375" style="86" customWidth="1"/>
    <col min="3233" max="3233" width="48.5546875" style="86" customWidth="1"/>
    <col min="3234" max="3234" width="12.44140625" style="86" customWidth="1"/>
    <col min="3235" max="3235" width="9.6640625" style="86" customWidth="1"/>
    <col min="3236" max="3236" width="11" style="86" customWidth="1"/>
    <col min="3237" max="3237" width="6.5546875" style="86" customWidth="1"/>
    <col min="3238" max="3238" width="7.44140625" style="86" customWidth="1"/>
    <col min="3239" max="3239" width="6.6640625" style="86" customWidth="1"/>
    <col min="3240" max="3240" width="12.5546875" style="86" customWidth="1"/>
    <col min="3241" max="3241" width="8.5546875" style="86" customWidth="1"/>
    <col min="3242" max="3242" width="9.109375" style="86" customWidth="1"/>
    <col min="3243" max="3243" width="13.88671875" style="86" customWidth="1"/>
    <col min="3244" max="3244" width="14" style="86" customWidth="1"/>
    <col min="3245" max="3245" width="4.5546875" style="86" customWidth="1"/>
    <col min="3246" max="3246" width="5.109375" style="86" customWidth="1"/>
    <col min="3247" max="3247" width="5" style="86" customWidth="1"/>
    <col min="3248" max="3248" width="6" style="86" customWidth="1"/>
    <col min="3249" max="3249" width="5.6640625" style="86" customWidth="1"/>
    <col min="3250" max="3250" width="4.88671875" style="86" customWidth="1"/>
    <col min="3251" max="3251" width="3.33203125" style="86" customWidth="1"/>
    <col min="3252" max="3252" width="38" style="86" customWidth="1"/>
    <col min="3253" max="3253" width="5.5546875" style="86" customWidth="1"/>
    <col min="3254" max="3254" width="5.33203125" style="86" customWidth="1"/>
    <col min="3255" max="3255" width="7.88671875" style="86" customWidth="1"/>
    <col min="3256" max="3256" width="5.6640625" style="86" customWidth="1"/>
    <col min="3257" max="3257" width="12.33203125" style="86" customWidth="1"/>
    <col min="3258" max="3258" width="10.44140625" style="86" customWidth="1"/>
    <col min="3259" max="3259" width="11.44140625" style="86" customWidth="1"/>
    <col min="3260" max="3260" width="24.88671875" style="86" customWidth="1"/>
    <col min="3261" max="3264" width="3.33203125" style="86" customWidth="1"/>
    <col min="3265" max="3265" width="4" style="86" customWidth="1"/>
    <col min="3266" max="3270" width="3.33203125" style="86" customWidth="1"/>
    <col min="3271" max="3271" width="4.5546875" style="86" customWidth="1"/>
    <col min="3272" max="3272" width="3.33203125" style="86" customWidth="1"/>
    <col min="3273" max="3275" width="4.5546875" style="86" customWidth="1"/>
    <col min="3276" max="3276" width="3.33203125" style="86" customWidth="1"/>
    <col min="3277" max="3282" width="4.5546875" style="86" customWidth="1"/>
    <col min="3283" max="3283" width="6.44140625" style="86" customWidth="1"/>
    <col min="3284" max="3294" width="4.5546875" style="86" customWidth="1"/>
    <col min="3295" max="3296" width="5.6640625" style="86" customWidth="1"/>
    <col min="3297" max="3297" width="9" style="86" customWidth="1"/>
    <col min="3298" max="3298" width="10" style="86" customWidth="1"/>
    <col min="3299" max="3299" width="8.5546875" style="86" customWidth="1"/>
    <col min="3300" max="3300" width="13" style="86" customWidth="1"/>
    <col min="3301" max="3301" width="13.109375" style="86" customWidth="1"/>
    <col min="3302" max="3302" width="10.44140625" style="86" customWidth="1"/>
    <col min="3303" max="3303" width="9.33203125" style="86" customWidth="1"/>
    <col min="3304" max="3304" width="9.44140625" style="86" customWidth="1"/>
    <col min="3305" max="3305" width="8.109375" style="86" customWidth="1"/>
    <col min="3306" max="3306" width="11.6640625" style="86" customWidth="1"/>
    <col min="3307" max="3307" width="11.33203125" style="86" customWidth="1"/>
    <col min="3308" max="3308" width="10.6640625" style="86" customWidth="1"/>
    <col min="3309" max="3309" width="20.5546875" style="86" bestFit="1" customWidth="1"/>
    <col min="3310" max="3310" width="11.44140625" style="86" customWidth="1"/>
    <col min="3311" max="3311" width="9.109375" style="86"/>
    <col min="3312" max="3312" width="10" style="86" customWidth="1"/>
    <col min="3313" max="3313" width="12.5546875" style="86" customWidth="1"/>
    <col min="3314" max="3314" width="10.44140625" style="86" customWidth="1"/>
    <col min="3315" max="3485" width="9.109375" style="86"/>
    <col min="3486" max="3486" width="16.109375" style="86" customWidth="1"/>
    <col min="3487" max="3487" width="12.88671875" style="86" customWidth="1"/>
    <col min="3488" max="3488" width="16.109375" style="86" customWidth="1"/>
    <col min="3489" max="3489" width="48.5546875" style="86" customWidth="1"/>
    <col min="3490" max="3490" width="12.44140625" style="86" customWidth="1"/>
    <col min="3491" max="3491" width="9.6640625" style="86" customWidth="1"/>
    <col min="3492" max="3492" width="11" style="86" customWidth="1"/>
    <col min="3493" max="3493" width="6.5546875" style="86" customWidth="1"/>
    <col min="3494" max="3494" width="7.44140625" style="86" customWidth="1"/>
    <col min="3495" max="3495" width="6.6640625" style="86" customWidth="1"/>
    <col min="3496" max="3496" width="12.5546875" style="86" customWidth="1"/>
    <col min="3497" max="3497" width="8.5546875" style="86" customWidth="1"/>
    <col min="3498" max="3498" width="9.109375" style="86" customWidth="1"/>
    <col min="3499" max="3499" width="13.88671875" style="86" customWidth="1"/>
    <col min="3500" max="3500" width="14" style="86" customWidth="1"/>
    <col min="3501" max="3501" width="4.5546875" style="86" customWidth="1"/>
    <col min="3502" max="3502" width="5.109375" style="86" customWidth="1"/>
    <col min="3503" max="3503" width="5" style="86" customWidth="1"/>
    <col min="3504" max="3504" width="6" style="86" customWidth="1"/>
    <col min="3505" max="3505" width="5.6640625" style="86" customWidth="1"/>
    <col min="3506" max="3506" width="4.88671875" style="86" customWidth="1"/>
    <col min="3507" max="3507" width="3.33203125" style="86" customWidth="1"/>
    <col min="3508" max="3508" width="38" style="86" customWidth="1"/>
    <col min="3509" max="3509" width="5.5546875" style="86" customWidth="1"/>
    <col min="3510" max="3510" width="5.33203125" style="86" customWidth="1"/>
    <col min="3511" max="3511" width="7.88671875" style="86" customWidth="1"/>
    <col min="3512" max="3512" width="5.6640625" style="86" customWidth="1"/>
    <col min="3513" max="3513" width="12.33203125" style="86" customWidth="1"/>
    <col min="3514" max="3514" width="10.44140625" style="86" customWidth="1"/>
    <col min="3515" max="3515" width="11.44140625" style="86" customWidth="1"/>
    <col min="3516" max="3516" width="24.88671875" style="86" customWidth="1"/>
    <col min="3517" max="3520" width="3.33203125" style="86" customWidth="1"/>
    <col min="3521" max="3521" width="4" style="86" customWidth="1"/>
    <col min="3522" max="3526" width="3.33203125" style="86" customWidth="1"/>
    <col min="3527" max="3527" width="4.5546875" style="86" customWidth="1"/>
    <col min="3528" max="3528" width="3.33203125" style="86" customWidth="1"/>
    <col min="3529" max="3531" width="4.5546875" style="86" customWidth="1"/>
    <col min="3532" max="3532" width="3.33203125" style="86" customWidth="1"/>
    <col min="3533" max="3538" width="4.5546875" style="86" customWidth="1"/>
    <col min="3539" max="3539" width="6.44140625" style="86" customWidth="1"/>
    <col min="3540" max="3550" width="4.5546875" style="86" customWidth="1"/>
    <col min="3551" max="3552" width="5.6640625" style="86" customWidth="1"/>
    <col min="3553" max="3553" width="9" style="86" customWidth="1"/>
    <col min="3554" max="3554" width="10" style="86" customWidth="1"/>
    <col min="3555" max="3555" width="8.5546875" style="86" customWidth="1"/>
    <col min="3556" max="3556" width="13" style="86" customWidth="1"/>
    <col min="3557" max="3557" width="13.109375" style="86" customWidth="1"/>
    <col min="3558" max="3558" width="10.44140625" style="86" customWidth="1"/>
    <col min="3559" max="3559" width="9.33203125" style="86" customWidth="1"/>
    <col min="3560" max="3560" width="9.44140625" style="86" customWidth="1"/>
    <col min="3561" max="3561" width="8.109375" style="86" customWidth="1"/>
    <col min="3562" max="3562" width="11.6640625" style="86" customWidth="1"/>
    <col min="3563" max="3563" width="11.33203125" style="86" customWidth="1"/>
    <col min="3564" max="3564" width="10.6640625" style="86" customWidth="1"/>
    <col min="3565" max="3565" width="20.5546875" style="86" bestFit="1" customWidth="1"/>
    <col min="3566" max="3566" width="11.44140625" style="86" customWidth="1"/>
    <col min="3567" max="3567" width="9.109375" style="86"/>
    <col min="3568" max="3568" width="10" style="86" customWidth="1"/>
    <col min="3569" max="3569" width="12.5546875" style="86" customWidth="1"/>
    <col min="3570" max="3570" width="10.44140625" style="86" customWidth="1"/>
    <col min="3571" max="3741" width="9.109375" style="86"/>
    <col min="3742" max="3742" width="16.109375" style="86" customWidth="1"/>
    <col min="3743" max="3743" width="12.88671875" style="86" customWidth="1"/>
    <col min="3744" max="3744" width="16.109375" style="86" customWidth="1"/>
    <col min="3745" max="3745" width="48.5546875" style="86" customWidth="1"/>
    <col min="3746" max="3746" width="12.44140625" style="86" customWidth="1"/>
    <col min="3747" max="3747" width="9.6640625" style="86" customWidth="1"/>
    <col min="3748" max="3748" width="11" style="86" customWidth="1"/>
    <col min="3749" max="3749" width="6.5546875" style="86" customWidth="1"/>
    <col min="3750" max="3750" width="7.44140625" style="86" customWidth="1"/>
    <col min="3751" max="3751" width="6.6640625" style="86" customWidth="1"/>
    <col min="3752" max="3752" width="12.5546875" style="86" customWidth="1"/>
    <col min="3753" max="3753" width="8.5546875" style="86" customWidth="1"/>
    <col min="3754" max="3754" width="9.109375" style="86" customWidth="1"/>
    <col min="3755" max="3755" width="13.88671875" style="86" customWidth="1"/>
    <col min="3756" max="3756" width="14" style="86" customWidth="1"/>
    <col min="3757" max="3757" width="4.5546875" style="86" customWidth="1"/>
    <col min="3758" max="3758" width="5.109375" style="86" customWidth="1"/>
    <col min="3759" max="3759" width="5" style="86" customWidth="1"/>
    <col min="3760" max="3760" width="6" style="86" customWidth="1"/>
    <col min="3761" max="3761" width="5.6640625" style="86" customWidth="1"/>
    <col min="3762" max="3762" width="4.88671875" style="86" customWidth="1"/>
    <col min="3763" max="3763" width="3.33203125" style="86" customWidth="1"/>
    <col min="3764" max="3764" width="38" style="86" customWidth="1"/>
    <col min="3765" max="3765" width="5.5546875" style="86" customWidth="1"/>
    <col min="3766" max="3766" width="5.33203125" style="86" customWidth="1"/>
    <col min="3767" max="3767" width="7.88671875" style="86" customWidth="1"/>
    <col min="3768" max="3768" width="5.6640625" style="86" customWidth="1"/>
    <col min="3769" max="3769" width="12.33203125" style="86" customWidth="1"/>
    <col min="3770" max="3770" width="10.44140625" style="86" customWidth="1"/>
    <col min="3771" max="3771" width="11.44140625" style="86" customWidth="1"/>
    <col min="3772" max="3772" width="24.88671875" style="86" customWidth="1"/>
    <col min="3773" max="3776" width="3.33203125" style="86" customWidth="1"/>
    <col min="3777" max="3777" width="4" style="86" customWidth="1"/>
    <col min="3778" max="3782" width="3.33203125" style="86" customWidth="1"/>
    <col min="3783" max="3783" width="4.5546875" style="86" customWidth="1"/>
    <col min="3784" max="3784" width="3.33203125" style="86" customWidth="1"/>
    <col min="3785" max="3787" width="4.5546875" style="86" customWidth="1"/>
    <col min="3788" max="3788" width="3.33203125" style="86" customWidth="1"/>
    <col min="3789" max="3794" width="4.5546875" style="86" customWidth="1"/>
    <col min="3795" max="3795" width="6.44140625" style="86" customWidth="1"/>
    <col min="3796" max="3806" width="4.5546875" style="86" customWidth="1"/>
    <col min="3807" max="3808" width="5.6640625" style="86" customWidth="1"/>
    <col min="3809" max="3809" width="9" style="86" customWidth="1"/>
    <col min="3810" max="3810" width="10" style="86" customWidth="1"/>
    <col min="3811" max="3811" width="8.5546875" style="86" customWidth="1"/>
    <col min="3812" max="3812" width="13" style="86" customWidth="1"/>
    <col min="3813" max="3813" width="13.109375" style="86" customWidth="1"/>
    <col min="3814" max="3814" width="10.44140625" style="86" customWidth="1"/>
    <col min="3815" max="3815" width="9.33203125" style="86" customWidth="1"/>
    <col min="3816" max="3816" width="9.44140625" style="86" customWidth="1"/>
    <col min="3817" max="3817" width="8.109375" style="86" customWidth="1"/>
    <col min="3818" max="3818" width="11.6640625" style="86" customWidth="1"/>
    <col min="3819" max="3819" width="11.33203125" style="86" customWidth="1"/>
    <col min="3820" max="3820" width="10.6640625" style="86" customWidth="1"/>
    <col min="3821" max="3821" width="20.5546875" style="86" bestFit="1" customWidth="1"/>
    <col min="3822" max="3822" width="11.44140625" style="86" customWidth="1"/>
    <col min="3823" max="3823" width="9.109375" style="86"/>
    <col min="3824" max="3824" width="10" style="86" customWidth="1"/>
    <col min="3825" max="3825" width="12.5546875" style="86" customWidth="1"/>
    <col min="3826" max="3826" width="10.44140625" style="86" customWidth="1"/>
    <col min="3827" max="3997" width="9.109375" style="86"/>
    <col min="3998" max="3998" width="16.109375" style="86" customWidth="1"/>
    <col min="3999" max="3999" width="12.88671875" style="86" customWidth="1"/>
    <col min="4000" max="4000" width="16.109375" style="86" customWidth="1"/>
    <col min="4001" max="4001" width="48.5546875" style="86" customWidth="1"/>
    <col min="4002" max="4002" width="12.44140625" style="86" customWidth="1"/>
    <col min="4003" max="4003" width="9.6640625" style="86" customWidth="1"/>
    <col min="4004" max="4004" width="11" style="86" customWidth="1"/>
    <col min="4005" max="4005" width="6.5546875" style="86" customWidth="1"/>
    <col min="4006" max="4006" width="7.44140625" style="86" customWidth="1"/>
    <col min="4007" max="4007" width="6.6640625" style="86" customWidth="1"/>
    <col min="4008" max="4008" width="12.5546875" style="86" customWidth="1"/>
    <col min="4009" max="4009" width="8.5546875" style="86" customWidth="1"/>
    <col min="4010" max="4010" width="9.109375" style="86" customWidth="1"/>
    <col min="4011" max="4011" width="13.88671875" style="86" customWidth="1"/>
    <col min="4012" max="4012" width="14" style="86" customWidth="1"/>
    <col min="4013" max="4013" width="4.5546875" style="86" customWidth="1"/>
    <col min="4014" max="4014" width="5.109375" style="86" customWidth="1"/>
    <col min="4015" max="4015" width="5" style="86" customWidth="1"/>
    <col min="4016" max="4016" width="6" style="86" customWidth="1"/>
    <col min="4017" max="4017" width="5.6640625" style="86" customWidth="1"/>
    <col min="4018" max="4018" width="4.88671875" style="86" customWidth="1"/>
    <col min="4019" max="4019" width="3.33203125" style="86" customWidth="1"/>
    <col min="4020" max="4020" width="38" style="86" customWidth="1"/>
    <col min="4021" max="4021" width="5.5546875" style="86" customWidth="1"/>
    <col min="4022" max="4022" width="5.33203125" style="86" customWidth="1"/>
    <col min="4023" max="4023" width="7.88671875" style="86" customWidth="1"/>
    <col min="4024" max="4024" width="5.6640625" style="86" customWidth="1"/>
    <col min="4025" max="4025" width="12.33203125" style="86" customWidth="1"/>
    <col min="4026" max="4026" width="10.44140625" style="86" customWidth="1"/>
    <col min="4027" max="4027" width="11.44140625" style="86" customWidth="1"/>
    <col min="4028" max="4028" width="24.88671875" style="86" customWidth="1"/>
    <col min="4029" max="4032" width="3.33203125" style="86" customWidth="1"/>
    <col min="4033" max="4033" width="4" style="86" customWidth="1"/>
    <col min="4034" max="4038" width="3.33203125" style="86" customWidth="1"/>
    <col min="4039" max="4039" width="4.5546875" style="86" customWidth="1"/>
    <col min="4040" max="4040" width="3.33203125" style="86" customWidth="1"/>
    <col min="4041" max="4043" width="4.5546875" style="86" customWidth="1"/>
    <col min="4044" max="4044" width="3.33203125" style="86" customWidth="1"/>
    <col min="4045" max="4050" width="4.5546875" style="86" customWidth="1"/>
    <col min="4051" max="4051" width="6.44140625" style="86" customWidth="1"/>
    <col min="4052" max="4062" width="4.5546875" style="86" customWidth="1"/>
    <col min="4063" max="4064" width="5.6640625" style="86" customWidth="1"/>
    <col min="4065" max="4065" width="9" style="86" customWidth="1"/>
    <col min="4066" max="4066" width="10" style="86" customWidth="1"/>
    <col min="4067" max="4067" width="8.5546875" style="86" customWidth="1"/>
    <col min="4068" max="4068" width="13" style="86" customWidth="1"/>
    <col min="4069" max="4069" width="13.109375" style="86" customWidth="1"/>
    <col min="4070" max="4070" width="10.44140625" style="86" customWidth="1"/>
    <col min="4071" max="4071" width="9.33203125" style="86" customWidth="1"/>
    <col min="4072" max="4072" width="9.44140625" style="86" customWidth="1"/>
    <col min="4073" max="4073" width="8.109375" style="86" customWidth="1"/>
    <col min="4074" max="4074" width="11.6640625" style="86" customWidth="1"/>
    <col min="4075" max="4075" width="11.33203125" style="86" customWidth="1"/>
    <col min="4076" max="4076" width="10.6640625" style="86" customWidth="1"/>
    <col min="4077" max="4077" width="20.5546875" style="86" bestFit="1" customWidth="1"/>
    <col min="4078" max="4078" width="11.44140625" style="86" customWidth="1"/>
    <col min="4079" max="4079" width="9.109375" style="86"/>
    <col min="4080" max="4080" width="10" style="86" customWidth="1"/>
    <col min="4081" max="4081" width="12.5546875" style="86" customWidth="1"/>
    <col min="4082" max="4082" width="10.44140625" style="86" customWidth="1"/>
    <col min="4083" max="4253" width="9.109375" style="86"/>
    <col min="4254" max="4254" width="16.109375" style="86" customWidth="1"/>
    <col min="4255" max="4255" width="12.88671875" style="86" customWidth="1"/>
    <col min="4256" max="4256" width="16.109375" style="86" customWidth="1"/>
    <col min="4257" max="4257" width="48.5546875" style="86" customWidth="1"/>
    <col min="4258" max="4258" width="12.44140625" style="86" customWidth="1"/>
    <col min="4259" max="4259" width="9.6640625" style="86" customWidth="1"/>
    <col min="4260" max="4260" width="11" style="86" customWidth="1"/>
    <col min="4261" max="4261" width="6.5546875" style="86" customWidth="1"/>
    <col min="4262" max="4262" width="7.44140625" style="86" customWidth="1"/>
    <col min="4263" max="4263" width="6.6640625" style="86" customWidth="1"/>
    <col min="4264" max="4264" width="12.5546875" style="86" customWidth="1"/>
    <col min="4265" max="4265" width="8.5546875" style="86" customWidth="1"/>
    <col min="4266" max="4266" width="9.109375" style="86" customWidth="1"/>
    <col min="4267" max="4267" width="13.88671875" style="86" customWidth="1"/>
    <col min="4268" max="4268" width="14" style="86" customWidth="1"/>
    <col min="4269" max="4269" width="4.5546875" style="86" customWidth="1"/>
    <col min="4270" max="4270" width="5.109375" style="86" customWidth="1"/>
    <col min="4271" max="4271" width="5" style="86" customWidth="1"/>
    <col min="4272" max="4272" width="6" style="86" customWidth="1"/>
    <col min="4273" max="4273" width="5.6640625" style="86" customWidth="1"/>
    <col min="4274" max="4274" width="4.88671875" style="86" customWidth="1"/>
    <col min="4275" max="4275" width="3.33203125" style="86" customWidth="1"/>
    <col min="4276" max="4276" width="38" style="86" customWidth="1"/>
    <col min="4277" max="4277" width="5.5546875" style="86" customWidth="1"/>
    <col min="4278" max="4278" width="5.33203125" style="86" customWidth="1"/>
    <col min="4279" max="4279" width="7.88671875" style="86" customWidth="1"/>
    <col min="4280" max="4280" width="5.6640625" style="86" customWidth="1"/>
    <col min="4281" max="4281" width="12.33203125" style="86" customWidth="1"/>
    <col min="4282" max="4282" width="10.44140625" style="86" customWidth="1"/>
    <col min="4283" max="4283" width="11.44140625" style="86" customWidth="1"/>
    <col min="4284" max="4284" width="24.88671875" style="86" customWidth="1"/>
    <col min="4285" max="4288" width="3.33203125" style="86" customWidth="1"/>
    <col min="4289" max="4289" width="4" style="86" customWidth="1"/>
    <col min="4290" max="4294" width="3.33203125" style="86" customWidth="1"/>
    <col min="4295" max="4295" width="4.5546875" style="86" customWidth="1"/>
    <col min="4296" max="4296" width="3.33203125" style="86" customWidth="1"/>
    <col min="4297" max="4299" width="4.5546875" style="86" customWidth="1"/>
    <col min="4300" max="4300" width="3.33203125" style="86" customWidth="1"/>
    <col min="4301" max="4306" width="4.5546875" style="86" customWidth="1"/>
    <col min="4307" max="4307" width="6.44140625" style="86" customWidth="1"/>
    <col min="4308" max="4318" width="4.5546875" style="86" customWidth="1"/>
    <col min="4319" max="4320" width="5.6640625" style="86" customWidth="1"/>
    <col min="4321" max="4321" width="9" style="86" customWidth="1"/>
    <col min="4322" max="4322" width="10" style="86" customWidth="1"/>
    <col min="4323" max="4323" width="8.5546875" style="86" customWidth="1"/>
    <col min="4324" max="4324" width="13" style="86" customWidth="1"/>
    <col min="4325" max="4325" width="13.109375" style="86" customWidth="1"/>
    <col min="4326" max="4326" width="10.44140625" style="86" customWidth="1"/>
    <col min="4327" max="4327" width="9.33203125" style="86" customWidth="1"/>
    <col min="4328" max="4328" width="9.44140625" style="86" customWidth="1"/>
    <col min="4329" max="4329" width="8.109375" style="86" customWidth="1"/>
    <col min="4330" max="4330" width="11.6640625" style="86" customWidth="1"/>
    <col min="4331" max="4331" width="11.33203125" style="86" customWidth="1"/>
    <col min="4332" max="4332" width="10.6640625" style="86" customWidth="1"/>
    <col min="4333" max="4333" width="20.5546875" style="86" bestFit="1" customWidth="1"/>
    <col min="4334" max="4334" width="11.44140625" style="86" customWidth="1"/>
    <col min="4335" max="4335" width="9.109375" style="86"/>
    <col min="4336" max="4336" width="10" style="86" customWidth="1"/>
    <col min="4337" max="4337" width="12.5546875" style="86" customWidth="1"/>
    <col min="4338" max="4338" width="10.44140625" style="86" customWidth="1"/>
    <col min="4339" max="4509" width="9.109375" style="86"/>
    <col min="4510" max="4510" width="16.109375" style="86" customWidth="1"/>
    <col min="4511" max="4511" width="12.88671875" style="86" customWidth="1"/>
    <col min="4512" max="4512" width="16.109375" style="86" customWidth="1"/>
    <col min="4513" max="4513" width="48.5546875" style="86" customWidth="1"/>
    <col min="4514" max="4514" width="12.44140625" style="86" customWidth="1"/>
    <col min="4515" max="4515" width="9.6640625" style="86" customWidth="1"/>
    <col min="4516" max="4516" width="11" style="86" customWidth="1"/>
    <col min="4517" max="4517" width="6.5546875" style="86" customWidth="1"/>
    <col min="4518" max="4518" width="7.44140625" style="86" customWidth="1"/>
    <col min="4519" max="4519" width="6.6640625" style="86" customWidth="1"/>
    <col min="4520" max="4520" width="12.5546875" style="86" customWidth="1"/>
    <col min="4521" max="4521" width="8.5546875" style="86" customWidth="1"/>
    <col min="4522" max="4522" width="9.109375" style="86" customWidth="1"/>
    <col min="4523" max="4523" width="13.88671875" style="86" customWidth="1"/>
    <col min="4524" max="4524" width="14" style="86" customWidth="1"/>
    <col min="4525" max="4525" width="4.5546875" style="86" customWidth="1"/>
    <col min="4526" max="4526" width="5.109375" style="86" customWidth="1"/>
    <col min="4527" max="4527" width="5" style="86" customWidth="1"/>
    <col min="4528" max="4528" width="6" style="86" customWidth="1"/>
    <col min="4529" max="4529" width="5.6640625" style="86" customWidth="1"/>
    <col min="4530" max="4530" width="4.88671875" style="86" customWidth="1"/>
    <col min="4531" max="4531" width="3.33203125" style="86" customWidth="1"/>
    <col min="4532" max="4532" width="38" style="86" customWidth="1"/>
    <col min="4533" max="4533" width="5.5546875" style="86" customWidth="1"/>
    <col min="4534" max="4534" width="5.33203125" style="86" customWidth="1"/>
    <col min="4535" max="4535" width="7.88671875" style="86" customWidth="1"/>
    <col min="4536" max="4536" width="5.6640625" style="86" customWidth="1"/>
    <col min="4537" max="4537" width="12.33203125" style="86" customWidth="1"/>
    <col min="4538" max="4538" width="10.44140625" style="86" customWidth="1"/>
    <col min="4539" max="4539" width="11.44140625" style="86" customWidth="1"/>
    <col min="4540" max="4540" width="24.88671875" style="86" customWidth="1"/>
    <col min="4541" max="4544" width="3.33203125" style="86" customWidth="1"/>
    <col min="4545" max="4545" width="4" style="86" customWidth="1"/>
    <col min="4546" max="4550" width="3.33203125" style="86" customWidth="1"/>
    <col min="4551" max="4551" width="4.5546875" style="86" customWidth="1"/>
    <col min="4552" max="4552" width="3.33203125" style="86" customWidth="1"/>
    <col min="4553" max="4555" width="4.5546875" style="86" customWidth="1"/>
    <col min="4556" max="4556" width="3.33203125" style="86" customWidth="1"/>
    <col min="4557" max="4562" width="4.5546875" style="86" customWidth="1"/>
    <col min="4563" max="4563" width="6.44140625" style="86" customWidth="1"/>
    <col min="4564" max="4574" width="4.5546875" style="86" customWidth="1"/>
    <col min="4575" max="4576" width="5.6640625" style="86" customWidth="1"/>
    <col min="4577" max="4577" width="9" style="86" customWidth="1"/>
    <col min="4578" max="4578" width="10" style="86" customWidth="1"/>
    <col min="4579" max="4579" width="8.5546875" style="86" customWidth="1"/>
    <col min="4580" max="4580" width="13" style="86" customWidth="1"/>
    <col min="4581" max="4581" width="13.109375" style="86" customWidth="1"/>
    <col min="4582" max="4582" width="10.44140625" style="86" customWidth="1"/>
    <col min="4583" max="4583" width="9.33203125" style="86" customWidth="1"/>
    <col min="4584" max="4584" width="9.44140625" style="86" customWidth="1"/>
    <col min="4585" max="4585" width="8.109375" style="86" customWidth="1"/>
    <col min="4586" max="4586" width="11.6640625" style="86" customWidth="1"/>
    <col min="4587" max="4587" width="11.33203125" style="86" customWidth="1"/>
    <col min="4588" max="4588" width="10.6640625" style="86" customWidth="1"/>
    <col min="4589" max="4589" width="20.5546875" style="86" bestFit="1" customWidth="1"/>
    <col min="4590" max="4590" width="11.44140625" style="86" customWidth="1"/>
    <col min="4591" max="4591" width="9.109375" style="86"/>
    <col min="4592" max="4592" width="10" style="86" customWidth="1"/>
    <col min="4593" max="4593" width="12.5546875" style="86" customWidth="1"/>
    <col min="4594" max="4594" width="10.44140625" style="86" customWidth="1"/>
    <col min="4595" max="4765" width="9.109375" style="86"/>
    <col min="4766" max="4766" width="16.109375" style="86" customWidth="1"/>
    <col min="4767" max="4767" width="12.88671875" style="86" customWidth="1"/>
    <col min="4768" max="4768" width="16.109375" style="86" customWidth="1"/>
    <col min="4769" max="4769" width="48.5546875" style="86" customWidth="1"/>
    <col min="4770" max="4770" width="12.44140625" style="86" customWidth="1"/>
    <col min="4771" max="4771" width="9.6640625" style="86" customWidth="1"/>
    <col min="4772" max="4772" width="11" style="86" customWidth="1"/>
    <col min="4773" max="4773" width="6.5546875" style="86" customWidth="1"/>
    <col min="4774" max="4774" width="7.44140625" style="86" customWidth="1"/>
    <col min="4775" max="4775" width="6.6640625" style="86" customWidth="1"/>
    <col min="4776" max="4776" width="12.5546875" style="86" customWidth="1"/>
    <col min="4777" max="4777" width="8.5546875" style="86" customWidth="1"/>
    <col min="4778" max="4778" width="9.109375" style="86" customWidth="1"/>
    <col min="4779" max="4779" width="13.88671875" style="86" customWidth="1"/>
    <col min="4780" max="4780" width="14" style="86" customWidth="1"/>
    <col min="4781" max="4781" width="4.5546875" style="86" customWidth="1"/>
    <col min="4782" max="4782" width="5.109375" style="86" customWidth="1"/>
    <col min="4783" max="4783" width="5" style="86" customWidth="1"/>
    <col min="4784" max="4784" width="6" style="86" customWidth="1"/>
    <col min="4785" max="4785" width="5.6640625" style="86" customWidth="1"/>
    <col min="4786" max="4786" width="4.88671875" style="86" customWidth="1"/>
    <col min="4787" max="4787" width="3.33203125" style="86" customWidth="1"/>
    <col min="4788" max="4788" width="38" style="86" customWidth="1"/>
    <col min="4789" max="4789" width="5.5546875" style="86" customWidth="1"/>
    <col min="4790" max="4790" width="5.33203125" style="86" customWidth="1"/>
    <col min="4791" max="4791" width="7.88671875" style="86" customWidth="1"/>
    <col min="4792" max="4792" width="5.6640625" style="86" customWidth="1"/>
    <col min="4793" max="4793" width="12.33203125" style="86" customWidth="1"/>
    <col min="4794" max="4794" width="10.44140625" style="86" customWidth="1"/>
    <col min="4795" max="4795" width="11.44140625" style="86" customWidth="1"/>
    <col min="4796" max="4796" width="24.88671875" style="86" customWidth="1"/>
    <col min="4797" max="4800" width="3.33203125" style="86" customWidth="1"/>
    <col min="4801" max="4801" width="4" style="86" customWidth="1"/>
    <col min="4802" max="4806" width="3.33203125" style="86" customWidth="1"/>
    <col min="4807" max="4807" width="4.5546875" style="86" customWidth="1"/>
    <col min="4808" max="4808" width="3.33203125" style="86" customWidth="1"/>
    <col min="4809" max="4811" width="4.5546875" style="86" customWidth="1"/>
    <col min="4812" max="4812" width="3.33203125" style="86" customWidth="1"/>
    <col min="4813" max="4818" width="4.5546875" style="86" customWidth="1"/>
    <col min="4819" max="4819" width="6.44140625" style="86" customWidth="1"/>
    <col min="4820" max="4830" width="4.5546875" style="86" customWidth="1"/>
    <col min="4831" max="4832" width="5.6640625" style="86" customWidth="1"/>
    <col min="4833" max="4833" width="9" style="86" customWidth="1"/>
    <col min="4834" max="4834" width="10" style="86" customWidth="1"/>
    <col min="4835" max="4835" width="8.5546875" style="86" customWidth="1"/>
    <col min="4836" max="4836" width="13" style="86" customWidth="1"/>
    <col min="4837" max="4837" width="13.109375" style="86" customWidth="1"/>
    <col min="4838" max="4838" width="10.44140625" style="86" customWidth="1"/>
    <col min="4839" max="4839" width="9.33203125" style="86" customWidth="1"/>
    <col min="4840" max="4840" width="9.44140625" style="86" customWidth="1"/>
    <col min="4841" max="4841" width="8.109375" style="86" customWidth="1"/>
    <col min="4842" max="4842" width="11.6640625" style="86" customWidth="1"/>
    <col min="4843" max="4843" width="11.33203125" style="86" customWidth="1"/>
    <col min="4844" max="4844" width="10.6640625" style="86" customWidth="1"/>
    <col min="4845" max="4845" width="20.5546875" style="86" bestFit="1" customWidth="1"/>
    <col min="4846" max="4846" width="11.44140625" style="86" customWidth="1"/>
    <col min="4847" max="4847" width="9.109375" style="86"/>
    <col min="4848" max="4848" width="10" style="86" customWidth="1"/>
    <col min="4849" max="4849" width="12.5546875" style="86" customWidth="1"/>
    <col min="4850" max="4850" width="10.44140625" style="86" customWidth="1"/>
    <col min="4851" max="5021" width="9.109375" style="86"/>
    <col min="5022" max="5022" width="16.109375" style="86" customWidth="1"/>
    <col min="5023" max="5023" width="12.88671875" style="86" customWidth="1"/>
    <col min="5024" max="5024" width="16.109375" style="86" customWidth="1"/>
    <col min="5025" max="5025" width="48.5546875" style="86" customWidth="1"/>
    <col min="5026" max="5026" width="12.44140625" style="86" customWidth="1"/>
    <col min="5027" max="5027" width="9.6640625" style="86" customWidth="1"/>
    <col min="5028" max="5028" width="11" style="86" customWidth="1"/>
    <col min="5029" max="5029" width="6.5546875" style="86" customWidth="1"/>
    <col min="5030" max="5030" width="7.44140625" style="86" customWidth="1"/>
    <col min="5031" max="5031" width="6.6640625" style="86" customWidth="1"/>
    <col min="5032" max="5032" width="12.5546875" style="86" customWidth="1"/>
    <col min="5033" max="5033" width="8.5546875" style="86" customWidth="1"/>
    <col min="5034" max="5034" width="9.109375" style="86" customWidth="1"/>
    <col min="5035" max="5035" width="13.88671875" style="86" customWidth="1"/>
    <col min="5036" max="5036" width="14" style="86" customWidth="1"/>
    <col min="5037" max="5037" width="4.5546875" style="86" customWidth="1"/>
    <col min="5038" max="5038" width="5.109375" style="86" customWidth="1"/>
    <col min="5039" max="5039" width="5" style="86" customWidth="1"/>
    <col min="5040" max="5040" width="6" style="86" customWidth="1"/>
    <col min="5041" max="5041" width="5.6640625" style="86" customWidth="1"/>
    <col min="5042" max="5042" width="4.88671875" style="86" customWidth="1"/>
    <col min="5043" max="5043" width="3.33203125" style="86" customWidth="1"/>
    <col min="5044" max="5044" width="38" style="86" customWidth="1"/>
    <col min="5045" max="5045" width="5.5546875" style="86" customWidth="1"/>
    <col min="5046" max="5046" width="5.33203125" style="86" customWidth="1"/>
    <col min="5047" max="5047" width="7.88671875" style="86" customWidth="1"/>
    <col min="5048" max="5048" width="5.6640625" style="86" customWidth="1"/>
    <col min="5049" max="5049" width="12.33203125" style="86" customWidth="1"/>
    <col min="5050" max="5050" width="10.44140625" style="86" customWidth="1"/>
    <col min="5051" max="5051" width="11.44140625" style="86" customWidth="1"/>
    <col min="5052" max="5052" width="24.88671875" style="86" customWidth="1"/>
    <col min="5053" max="5056" width="3.33203125" style="86" customWidth="1"/>
    <col min="5057" max="5057" width="4" style="86" customWidth="1"/>
    <col min="5058" max="5062" width="3.33203125" style="86" customWidth="1"/>
    <col min="5063" max="5063" width="4.5546875" style="86" customWidth="1"/>
    <col min="5064" max="5064" width="3.33203125" style="86" customWidth="1"/>
    <col min="5065" max="5067" width="4.5546875" style="86" customWidth="1"/>
    <col min="5068" max="5068" width="3.33203125" style="86" customWidth="1"/>
    <col min="5069" max="5074" width="4.5546875" style="86" customWidth="1"/>
    <col min="5075" max="5075" width="6.44140625" style="86" customWidth="1"/>
    <col min="5076" max="5086" width="4.5546875" style="86" customWidth="1"/>
    <col min="5087" max="5088" width="5.6640625" style="86" customWidth="1"/>
    <col min="5089" max="5089" width="9" style="86" customWidth="1"/>
    <col min="5090" max="5090" width="10" style="86" customWidth="1"/>
    <col min="5091" max="5091" width="8.5546875" style="86" customWidth="1"/>
    <col min="5092" max="5092" width="13" style="86" customWidth="1"/>
    <col min="5093" max="5093" width="13.109375" style="86" customWidth="1"/>
    <col min="5094" max="5094" width="10.44140625" style="86" customWidth="1"/>
    <col min="5095" max="5095" width="9.33203125" style="86" customWidth="1"/>
    <col min="5096" max="5096" width="9.44140625" style="86" customWidth="1"/>
    <col min="5097" max="5097" width="8.109375" style="86" customWidth="1"/>
    <col min="5098" max="5098" width="11.6640625" style="86" customWidth="1"/>
    <col min="5099" max="5099" width="11.33203125" style="86" customWidth="1"/>
    <col min="5100" max="5100" width="10.6640625" style="86" customWidth="1"/>
    <col min="5101" max="5101" width="20.5546875" style="86" bestFit="1" customWidth="1"/>
    <col min="5102" max="5102" width="11.44140625" style="86" customWidth="1"/>
    <col min="5103" max="5103" width="9.109375" style="86"/>
    <col min="5104" max="5104" width="10" style="86" customWidth="1"/>
    <col min="5105" max="5105" width="12.5546875" style="86" customWidth="1"/>
    <col min="5106" max="5106" width="10.44140625" style="86" customWidth="1"/>
    <col min="5107" max="5277" width="9.109375" style="86"/>
    <col min="5278" max="5278" width="16.109375" style="86" customWidth="1"/>
    <col min="5279" max="5279" width="12.88671875" style="86" customWidth="1"/>
    <col min="5280" max="5280" width="16.109375" style="86" customWidth="1"/>
    <col min="5281" max="5281" width="48.5546875" style="86" customWidth="1"/>
    <col min="5282" max="5282" width="12.44140625" style="86" customWidth="1"/>
    <col min="5283" max="5283" width="9.6640625" style="86" customWidth="1"/>
    <col min="5284" max="5284" width="11" style="86" customWidth="1"/>
    <col min="5285" max="5285" width="6.5546875" style="86" customWidth="1"/>
    <col min="5286" max="5286" width="7.44140625" style="86" customWidth="1"/>
    <col min="5287" max="5287" width="6.6640625" style="86" customWidth="1"/>
    <col min="5288" max="5288" width="12.5546875" style="86" customWidth="1"/>
    <col min="5289" max="5289" width="8.5546875" style="86" customWidth="1"/>
    <col min="5290" max="5290" width="9.109375" style="86" customWidth="1"/>
    <col min="5291" max="5291" width="13.88671875" style="86" customWidth="1"/>
    <col min="5292" max="5292" width="14" style="86" customWidth="1"/>
    <col min="5293" max="5293" width="4.5546875" style="86" customWidth="1"/>
    <col min="5294" max="5294" width="5.109375" style="86" customWidth="1"/>
    <col min="5295" max="5295" width="5" style="86" customWidth="1"/>
    <col min="5296" max="5296" width="6" style="86" customWidth="1"/>
    <col min="5297" max="5297" width="5.6640625" style="86" customWidth="1"/>
    <col min="5298" max="5298" width="4.88671875" style="86" customWidth="1"/>
    <col min="5299" max="5299" width="3.33203125" style="86" customWidth="1"/>
    <col min="5300" max="5300" width="38" style="86" customWidth="1"/>
    <col min="5301" max="5301" width="5.5546875" style="86" customWidth="1"/>
    <col min="5302" max="5302" width="5.33203125" style="86" customWidth="1"/>
    <col min="5303" max="5303" width="7.88671875" style="86" customWidth="1"/>
    <col min="5304" max="5304" width="5.6640625" style="86" customWidth="1"/>
    <col min="5305" max="5305" width="12.33203125" style="86" customWidth="1"/>
    <col min="5306" max="5306" width="10.44140625" style="86" customWidth="1"/>
    <col min="5307" max="5307" width="11.44140625" style="86" customWidth="1"/>
    <col min="5308" max="5308" width="24.88671875" style="86" customWidth="1"/>
    <col min="5309" max="5312" width="3.33203125" style="86" customWidth="1"/>
    <col min="5313" max="5313" width="4" style="86" customWidth="1"/>
    <col min="5314" max="5318" width="3.33203125" style="86" customWidth="1"/>
    <col min="5319" max="5319" width="4.5546875" style="86" customWidth="1"/>
    <col min="5320" max="5320" width="3.33203125" style="86" customWidth="1"/>
    <col min="5321" max="5323" width="4.5546875" style="86" customWidth="1"/>
    <col min="5324" max="5324" width="3.33203125" style="86" customWidth="1"/>
    <col min="5325" max="5330" width="4.5546875" style="86" customWidth="1"/>
    <col min="5331" max="5331" width="6.44140625" style="86" customWidth="1"/>
    <col min="5332" max="5342" width="4.5546875" style="86" customWidth="1"/>
    <col min="5343" max="5344" width="5.6640625" style="86" customWidth="1"/>
    <col min="5345" max="5345" width="9" style="86" customWidth="1"/>
    <col min="5346" max="5346" width="10" style="86" customWidth="1"/>
    <col min="5347" max="5347" width="8.5546875" style="86" customWidth="1"/>
    <col min="5348" max="5348" width="13" style="86" customWidth="1"/>
    <col min="5349" max="5349" width="13.109375" style="86" customWidth="1"/>
    <col min="5350" max="5350" width="10.44140625" style="86" customWidth="1"/>
    <col min="5351" max="5351" width="9.33203125" style="86" customWidth="1"/>
    <col min="5352" max="5352" width="9.44140625" style="86" customWidth="1"/>
    <col min="5353" max="5353" width="8.109375" style="86" customWidth="1"/>
    <col min="5354" max="5354" width="11.6640625" style="86" customWidth="1"/>
    <col min="5355" max="5355" width="11.33203125" style="86" customWidth="1"/>
    <col min="5356" max="5356" width="10.6640625" style="86" customWidth="1"/>
    <col min="5357" max="5357" width="20.5546875" style="86" bestFit="1" customWidth="1"/>
    <col min="5358" max="5358" width="11.44140625" style="86" customWidth="1"/>
    <col min="5359" max="5359" width="9.109375" style="86"/>
    <col min="5360" max="5360" width="10" style="86" customWidth="1"/>
    <col min="5361" max="5361" width="12.5546875" style="86" customWidth="1"/>
    <col min="5362" max="5362" width="10.44140625" style="86" customWidth="1"/>
    <col min="5363" max="5533" width="9.109375" style="86"/>
    <col min="5534" max="5534" width="16.109375" style="86" customWidth="1"/>
    <col min="5535" max="5535" width="12.88671875" style="86" customWidth="1"/>
    <col min="5536" max="5536" width="16.109375" style="86" customWidth="1"/>
    <col min="5537" max="5537" width="48.5546875" style="86" customWidth="1"/>
    <col min="5538" max="5538" width="12.44140625" style="86" customWidth="1"/>
    <col min="5539" max="5539" width="9.6640625" style="86" customWidth="1"/>
    <col min="5540" max="5540" width="11" style="86" customWidth="1"/>
    <col min="5541" max="5541" width="6.5546875" style="86" customWidth="1"/>
    <col min="5542" max="5542" width="7.44140625" style="86" customWidth="1"/>
    <col min="5543" max="5543" width="6.6640625" style="86" customWidth="1"/>
    <col min="5544" max="5544" width="12.5546875" style="86" customWidth="1"/>
    <col min="5545" max="5545" width="8.5546875" style="86" customWidth="1"/>
    <col min="5546" max="5546" width="9.109375" style="86" customWidth="1"/>
    <col min="5547" max="5547" width="13.88671875" style="86" customWidth="1"/>
    <col min="5548" max="5548" width="14" style="86" customWidth="1"/>
    <col min="5549" max="5549" width="4.5546875" style="86" customWidth="1"/>
    <col min="5550" max="5550" width="5.109375" style="86" customWidth="1"/>
    <col min="5551" max="5551" width="5" style="86" customWidth="1"/>
    <col min="5552" max="5552" width="6" style="86" customWidth="1"/>
    <col min="5553" max="5553" width="5.6640625" style="86" customWidth="1"/>
    <col min="5554" max="5554" width="4.88671875" style="86" customWidth="1"/>
    <col min="5555" max="5555" width="3.33203125" style="86" customWidth="1"/>
    <col min="5556" max="5556" width="38" style="86" customWidth="1"/>
    <col min="5557" max="5557" width="5.5546875" style="86" customWidth="1"/>
    <col min="5558" max="5558" width="5.33203125" style="86" customWidth="1"/>
    <col min="5559" max="5559" width="7.88671875" style="86" customWidth="1"/>
    <col min="5560" max="5560" width="5.6640625" style="86" customWidth="1"/>
    <col min="5561" max="5561" width="12.33203125" style="86" customWidth="1"/>
    <col min="5562" max="5562" width="10.44140625" style="86" customWidth="1"/>
    <col min="5563" max="5563" width="11.44140625" style="86" customWidth="1"/>
    <col min="5564" max="5564" width="24.88671875" style="86" customWidth="1"/>
    <col min="5565" max="5568" width="3.33203125" style="86" customWidth="1"/>
    <col min="5569" max="5569" width="4" style="86" customWidth="1"/>
    <col min="5570" max="5574" width="3.33203125" style="86" customWidth="1"/>
    <col min="5575" max="5575" width="4.5546875" style="86" customWidth="1"/>
    <col min="5576" max="5576" width="3.33203125" style="86" customWidth="1"/>
    <col min="5577" max="5579" width="4.5546875" style="86" customWidth="1"/>
    <col min="5580" max="5580" width="3.33203125" style="86" customWidth="1"/>
    <col min="5581" max="5586" width="4.5546875" style="86" customWidth="1"/>
    <col min="5587" max="5587" width="6.44140625" style="86" customWidth="1"/>
    <col min="5588" max="5598" width="4.5546875" style="86" customWidth="1"/>
    <col min="5599" max="5600" width="5.6640625" style="86" customWidth="1"/>
    <col min="5601" max="5601" width="9" style="86" customWidth="1"/>
    <col min="5602" max="5602" width="10" style="86" customWidth="1"/>
    <col min="5603" max="5603" width="8.5546875" style="86" customWidth="1"/>
    <col min="5604" max="5604" width="13" style="86" customWidth="1"/>
    <col min="5605" max="5605" width="13.109375" style="86" customWidth="1"/>
    <col min="5606" max="5606" width="10.44140625" style="86" customWidth="1"/>
    <col min="5607" max="5607" width="9.33203125" style="86" customWidth="1"/>
    <col min="5608" max="5608" width="9.44140625" style="86" customWidth="1"/>
    <col min="5609" max="5609" width="8.109375" style="86" customWidth="1"/>
    <col min="5610" max="5610" width="11.6640625" style="86" customWidth="1"/>
    <col min="5611" max="5611" width="11.33203125" style="86" customWidth="1"/>
    <col min="5612" max="5612" width="10.6640625" style="86" customWidth="1"/>
    <col min="5613" max="5613" width="20.5546875" style="86" bestFit="1" customWidth="1"/>
    <col min="5614" max="5614" width="11.44140625" style="86" customWidth="1"/>
    <col min="5615" max="5615" width="9.109375" style="86"/>
    <col min="5616" max="5616" width="10" style="86" customWidth="1"/>
    <col min="5617" max="5617" width="12.5546875" style="86" customWidth="1"/>
    <col min="5618" max="5618" width="10.44140625" style="86" customWidth="1"/>
    <col min="5619" max="5789" width="9.109375" style="86"/>
    <col min="5790" max="5790" width="16.109375" style="86" customWidth="1"/>
    <col min="5791" max="5791" width="12.88671875" style="86" customWidth="1"/>
    <col min="5792" max="5792" width="16.109375" style="86" customWidth="1"/>
    <col min="5793" max="5793" width="48.5546875" style="86" customWidth="1"/>
    <col min="5794" max="5794" width="12.44140625" style="86" customWidth="1"/>
    <col min="5795" max="5795" width="9.6640625" style="86" customWidth="1"/>
    <col min="5796" max="5796" width="11" style="86" customWidth="1"/>
    <col min="5797" max="5797" width="6.5546875" style="86" customWidth="1"/>
    <col min="5798" max="5798" width="7.44140625" style="86" customWidth="1"/>
    <col min="5799" max="5799" width="6.6640625" style="86" customWidth="1"/>
    <col min="5800" max="5800" width="12.5546875" style="86" customWidth="1"/>
    <col min="5801" max="5801" width="8.5546875" style="86" customWidth="1"/>
    <col min="5802" max="5802" width="9.109375" style="86" customWidth="1"/>
    <col min="5803" max="5803" width="13.88671875" style="86" customWidth="1"/>
    <col min="5804" max="5804" width="14" style="86" customWidth="1"/>
    <col min="5805" max="5805" width="4.5546875" style="86" customWidth="1"/>
    <col min="5806" max="5806" width="5.109375" style="86" customWidth="1"/>
    <col min="5807" max="5807" width="5" style="86" customWidth="1"/>
    <col min="5808" max="5808" width="6" style="86" customWidth="1"/>
    <col min="5809" max="5809" width="5.6640625" style="86" customWidth="1"/>
    <col min="5810" max="5810" width="4.88671875" style="86" customWidth="1"/>
    <col min="5811" max="5811" width="3.33203125" style="86" customWidth="1"/>
    <col min="5812" max="5812" width="38" style="86" customWidth="1"/>
    <col min="5813" max="5813" width="5.5546875" style="86" customWidth="1"/>
    <col min="5814" max="5814" width="5.33203125" style="86" customWidth="1"/>
    <col min="5815" max="5815" width="7.88671875" style="86" customWidth="1"/>
    <col min="5816" max="5816" width="5.6640625" style="86" customWidth="1"/>
    <col min="5817" max="5817" width="12.33203125" style="86" customWidth="1"/>
    <col min="5818" max="5818" width="10.44140625" style="86" customWidth="1"/>
    <col min="5819" max="5819" width="11.44140625" style="86" customWidth="1"/>
    <col min="5820" max="5820" width="24.88671875" style="86" customWidth="1"/>
    <col min="5821" max="5824" width="3.33203125" style="86" customWidth="1"/>
    <col min="5825" max="5825" width="4" style="86" customWidth="1"/>
    <col min="5826" max="5830" width="3.33203125" style="86" customWidth="1"/>
    <col min="5831" max="5831" width="4.5546875" style="86" customWidth="1"/>
    <col min="5832" max="5832" width="3.33203125" style="86" customWidth="1"/>
    <col min="5833" max="5835" width="4.5546875" style="86" customWidth="1"/>
    <col min="5836" max="5836" width="3.33203125" style="86" customWidth="1"/>
    <col min="5837" max="5842" width="4.5546875" style="86" customWidth="1"/>
    <col min="5843" max="5843" width="6.44140625" style="86" customWidth="1"/>
    <col min="5844" max="5854" width="4.5546875" style="86" customWidth="1"/>
    <col min="5855" max="5856" width="5.6640625" style="86" customWidth="1"/>
    <col min="5857" max="5857" width="9" style="86" customWidth="1"/>
    <col min="5858" max="5858" width="10" style="86" customWidth="1"/>
    <col min="5859" max="5859" width="8.5546875" style="86" customWidth="1"/>
    <col min="5860" max="5860" width="13" style="86" customWidth="1"/>
    <col min="5861" max="5861" width="13.109375" style="86" customWidth="1"/>
    <col min="5862" max="5862" width="10.44140625" style="86" customWidth="1"/>
    <col min="5863" max="5863" width="9.33203125" style="86" customWidth="1"/>
    <col min="5864" max="5864" width="9.44140625" style="86" customWidth="1"/>
    <col min="5865" max="5865" width="8.109375" style="86" customWidth="1"/>
    <col min="5866" max="5866" width="11.6640625" style="86" customWidth="1"/>
    <col min="5867" max="5867" width="11.33203125" style="86" customWidth="1"/>
    <col min="5868" max="5868" width="10.6640625" style="86" customWidth="1"/>
    <col min="5869" max="5869" width="20.5546875" style="86" bestFit="1" customWidth="1"/>
    <col min="5870" max="5870" width="11.44140625" style="86" customWidth="1"/>
    <col min="5871" max="5871" width="9.109375" style="86"/>
    <col min="5872" max="5872" width="10" style="86" customWidth="1"/>
    <col min="5873" max="5873" width="12.5546875" style="86" customWidth="1"/>
    <col min="5874" max="5874" width="10.44140625" style="86" customWidth="1"/>
    <col min="5875" max="6045" width="9.109375" style="86"/>
    <col min="6046" max="6046" width="16.109375" style="86" customWidth="1"/>
    <col min="6047" max="6047" width="12.88671875" style="86" customWidth="1"/>
    <col min="6048" max="6048" width="16.109375" style="86" customWidth="1"/>
    <col min="6049" max="6049" width="48.5546875" style="86" customWidth="1"/>
    <col min="6050" max="6050" width="12.44140625" style="86" customWidth="1"/>
    <col min="6051" max="6051" width="9.6640625" style="86" customWidth="1"/>
    <col min="6052" max="6052" width="11" style="86" customWidth="1"/>
    <col min="6053" max="6053" width="6.5546875" style="86" customWidth="1"/>
    <col min="6054" max="6054" width="7.44140625" style="86" customWidth="1"/>
    <col min="6055" max="6055" width="6.6640625" style="86" customWidth="1"/>
    <col min="6056" max="6056" width="12.5546875" style="86" customWidth="1"/>
    <col min="6057" max="6057" width="8.5546875" style="86" customWidth="1"/>
    <col min="6058" max="6058" width="9.109375" style="86" customWidth="1"/>
    <col min="6059" max="6059" width="13.88671875" style="86" customWidth="1"/>
    <col min="6060" max="6060" width="14" style="86" customWidth="1"/>
    <col min="6061" max="6061" width="4.5546875" style="86" customWidth="1"/>
    <col min="6062" max="6062" width="5.109375" style="86" customWidth="1"/>
    <col min="6063" max="6063" width="5" style="86" customWidth="1"/>
    <col min="6064" max="6064" width="6" style="86" customWidth="1"/>
    <col min="6065" max="6065" width="5.6640625" style="86" customWidth="1"/>
    <col min="6066" max="6066" width="4.88671875" style="86" customWidth="1"/>
    <col min="6067" max="6067" width="3.33203125" style="86" customWidth="1"/>
    <col min="6068" max="6068" width="38" style="86" customWidth="1"/>
    <col min="6069" max="6069" width="5.5546875" style="86" customWidth="1"/>
    <col min="6070" max="6070" width="5.33203125" style="86" customWidth="1"/>
    <col min="6071" max="6071" width="7.88671875" style="86" customWidth="1"/>
    <col min="6072" max="6072" width="5.6640625" style="86" customWidth="1"/>
    <col min="6073" max="6073" width="12.33203125" style="86" customWidth="1"/>
    <col min="6074" max="6074" width="10.44140625" style="86" customWidth="1"/>
    <col min="6075" max="6075" width="11.44140625" style="86" customWidth="1"/>
    <col min="6076" max="6076" width="24.88671875" style="86" customWidth="1"/>
    <col min="6077" max="6080" width="3.33203125" style="86" customWidth="1"/>
    <col min="6081" max="6081" width="4" style="86" customWidth="1"/>
    <col min="6082" max="6086" width="3.33203125" style="86" customWidth="1"/>
    <col min="6087" max="6087" width="4.5546875" style="86" customWidth="1"/>
    <col min="6088" max="6088" width="3.33203125" style="86" customWidth="1"/>
    <col min="6089" max="6091" width="4.5546875" style="86" customWidth="1"/>
    <col min="6092" max="6092" width="3.33203125" style="86" customWidth="1"/>
    <col min="6093" max="6098" width="4.5546875" style="86" customWidth="1"/>
    <col min="6099" max="6099" width="6.44140625" style="86" customWidth="1"/>
    <col min="6100" max="6110" width="4.5546875" style="86" customWidth="1"/>
    <col min="6111" max="6112" width="5.6640625" style="86" customWidth="1"/>
    <col min="6113" max="6113" width="9" style="86" customWidth="1"/>
    <col min="6114" max="6114" width="10" style="86" customWidth="1"/>
    <col min="6115" max="6115" width="8.5546875" style="86" customWidth="1"/>
    <col min="6116" max="6116" width="13" style="86" customWidth="1"/>
    <col min="6117" max="6117" width="13.109375" style="86" customWidth="1"/>
    <col min="6118" max="6118" width="10.44140625" style="86" customWidth="1"/>
    <col min="6119" max="6119" width="9.33203125" style="86" customWidth="1"/>
    <col min="6120" max="6120" width="9.44140625" style="86" customWidth="1"/>
    <col min="6121" max="6121" width="8.109375" style="86" customWidth="1"/>
    <col min="6122" max="6122" width="11.6640625" style="86" customWidth="1"/>
    <col min="6123" max="6123" width="11.33203125" style="86" customWidth="1"/>
    <col min="6124" max="6124" width="10.6640625" style="86" customWidth="1"/>
    <col min="6125" max="6125" width="20.5546875" style="86" bestFit="1" customWidth="1"/>
    <col min="6126" max="6126" width="11.44140625" style="86" customWidth="1"/>
    <col min="6127" max="6127" width="9.109375" style="86"/>
    <col min="6128" max="6128" width="10" style="86" customWidth="1"/>
    <col min="6129" max="6129" width="12.5546875" style="86" customWidth="1"/>
    <col min="6130" max="6130" width="10.44140625" style="86" customWidth="1"/>
    <col min="6131" max="6301" width="9.109375" style="86"/>
    <col min="6302" max="6302" width="16.109375" style="86" customWidth="1"/>
    <col min="6303" max="6303" width="12.88671875" style="86" customWidth="1"/>
    <col min="6304" max="6304" width="16.109375" style="86" customWidth="1"/>
    <col min="6305" max="6305" width="48.5546875" style="86" customWidth="1"/>
    <col min="6306" max="6306" width="12.44140625" style="86" customWidth="1"/>
    <col min="6307" max="6307" width="9.6640625" style="86" customWidth="1"/>
    <col min="6308" max="6308" width="11" style="86" customWidth="1"/>
    <col min="6309" max="6309" width="6.5546875" style="86" customWidth="1"/>
    <col min="6310" max="6310" width="7.44140625" style="86" customWidth="1"/>
    <col min="6311" max="6311" width="6.6640625" style="86" customWidth="1"/>
    <col min="6312" max="6312" width="12.5546875" style="86" customWidth="1"/>
    <col min="6313" max="6313" width="8.5546875" style="86" customWidth="1"/>
    <col min="6314" max="6314" width="9.109375" style="86" customWidth="1"/>
    <col min="6315" max="6315" width="13.88671875" style="86" customWidth="1"/>
    <col min="6316" max="6316" width="14" style="86" customWidth="1"/>
    <col min="6317" max="6317" width="4.5546875" style="86" customWidth="1"/>
    <col min="6318" max="6318" width="5.109375" style="86" customWidth="1"/>
    <col min="6319" max="6319" width="5" style="86" customWidth="1"/>
    <col min="6320" max="6320" width="6" style="86" customWidth="1"/>
    <col min="6321" max="6321" width="5.6640625" style="86" customWidth="1"/>
    <col min="6322" max="6322" width="4.88671875" style="86" customWidth="1"/>
    <col min="6323" max="6323" width="3.33203125" style="86" customWidth="1"/>
    <col min="6324" max="6324" width="38" style="86" customWidth="1"/>
    <col min="6325" max="6325" width="5.5546875" style="86" customWidth="1"/>
    <col min="6326" max="6326" width="5.33203125" style="86" customWidth="1"/>
    <col min="6327" max="6327" width="7.88671875" style="86" customWidth="1"/>
    <col min="6328" max="6328" width="5.6640625" style="86" customWidth="1"/>
    <col min="6329" max="6329" width="12.33203125" style="86" customWidth="1"/>
    <col min="6330" max="6330" width="10.44140625" style="86" customWidth="1"/>
    <col min="6331" max="6331" width="11.44140625" style="86" customWidth="1"/>
    <col min="6332" max="6332" width="24.88671875" style="86" customWidth="1"/>
    <col min="6333" max="6336" width="3.33203125" style="86" customWidth="1"/>
    <col min="6337" max="6337" width="4" style="86" customWidth="1"/>
    <col min="6338" max="6342" width="3.33203125" style="86" customWidth="1"/>
    <col min="6343" max="6343" width="4.5546875" style="86" customWidth="1"/>
    <col min="6344" max="6344" width="3.33203125" style="86" customWidth="1"/>
    <col min="6345" max="6347" width="4.5546875" style="86" customWidth="1"/>
    <col min="6348" max="6348" width="3.33203125" style="86" customWidth="1"/>
    <col min="6349" max="6354" width="4.5546875" style="86" customWidth="1"/>
    <col min="6355" max="6355" width="6.44140625" style="86" customWidth="1"/>
    <col min="6356" max="6366" width="4.5546875" style="86" customWidth="1"/>
    <col min="6367" max="6368" width="5.6640625" style="86" customWidth="1"/>
    <col min="6369" max="6369" width="9" style="86" customWidth="1"/>
    <col min="6370" max="6370" width="10" style="86" customWidth="1"/>
    <col min="6371" max="6371" width="8.5546875" style="86" customWidth="1"/>
    <col min="6372" max="6372" width="13" style="86" customWidth="1"/>
    <col min="6373" max="6373" width="13.109375" style="86" customWidth="1"/>
    <col min="6374" max="6374" width="10.44140625" style="86" customWidth="1"/>
    <col min="6375" max="6375" width="9.33203125" style="86" customWidth="1"/>
    <col min="6376" max="6376" width="9.44140625" style="86" customWidth="1"/>
    <col min="6377" max="6377" width="8.109375" style="86" customWidth="1"/>
    <col min="6378" max="6378" width="11.6640625" style="86" customWidth="1"/>
    <col min="6379" max="6379" width="11.33203125" style="86" customWidth="1"/>
    <col min="6380" max="6380" width="10.6640625" style="86" customWidth="1"/>
    <col min="6381" max="6381" width="20.5546875" style="86" bestFit="1" customWidth="1"/>
    <col min="6382" max="6382" width="11.44140625" style="86" customWidth="1"/>
    <col min="6383" max="6383" width="9.109375" style="86"/>
    <col min="6384" max="6384" width="10" style="86" customWidth="1"/>
    <col min="6385" max="6385" width="12.5546875" style="86" customWidth="1"/>
    <col min="6386" max="6386" width="10.44140625" style="86" customWidth="1"/>
    <col min="6387" max="6557" width="9.109375" style="86"/>
    <col min="6558" max="6558" width="16.109375" style="86" customWidth="1"/>
    <col min="6559" max="6559" width="12.88671875" style="86" customWidth="1"/>
    <col min="6560" max="6560" width="16.109375" style="86" customWidth="1"/>
    <col min="6561" max="6561" width="48.5546875" style="86" customWidth="1"/>
    <col min="6562" max="6562" width="12.44140625" style="86" customWidth="1"/>
    <col min="6563" max="6563" width="9.6640625" style="86" customWidth="1"/>
    <col min="6564" max="6564" width="11" style="86" customWidth="1"/>
    <col min="6565" max="6565" width="6.5546875" style="86" customWidth="1"/>
    <col min="6566" max="6566" width="7.44140625" style="86" customWidth="1"/>
    <col min="6567" max="6567" width="6.6640625" style="86" customWidth="1"/>
    <col min="6568" max="6568" width="12.5546875" style="86" customWidth="1"/>
    <col min="6569" max="6569" width="8.5546875" style="86" customWidth="1"/>
    <col min="6570" max="6570" width="9.109375" style="86" customWidth="1"/>
    <col min="6571" max="6571" width="13.88671875" style="86" customWidth="1"/>
    <col min="6572" max="6572" width="14" style="86" customWidth="1"/>
    <col min="6573" max="6573" width="4.5546875" style="86" customWidth="1"/>
    <col min="6574" max="6574" width="5.109375" style="86" customWidth="1"/>
    <col min="6575" max="6575" width="5" style="86" customWidth="1"/>
    <col min="6576" max="6576" width="6" style="86" customWidth="1"/>
    <col min="6577" max="6577" width="5.6640625" style="86" customWidth="1"/>
    <col min="6578" max="6578" width="4.88671875" style="86" customWidth="1"/>
    <col min="6579" max="6579" width="3.33203125" style="86" customWidth="1"/>
    <col min="6580" max="6580" width="38" style="86" customWidth="1"/>
    <col min="6581" max="6581" width="5.5546875" style="86" customWidth="1"/>
    <col min="6582" max="6582" width="5.33203125" style="86" customWidth="1"/>
    <col min="6583" max="6583" width="7.88671875" style="86" customWidth="1"/>
    <col min="6584" max="6584" width="5.6640625" style="86" customWidth="1"/>
    <col min="6585" max="6585" width="12.33203125" style="86" customWidth="1"/>
    <col min="6586" max="6586" width="10.44140625" style="86" customWidth="1"/>
    <col min="6587" max="6587" width="11.44140625" style="86" customWidth="1"/>
    <col min="6588" max="6588" width="24.88671875" style="86" customWidth="1"/>
    <col min="6589" max="6592" width="3.33203125" style="86" customWidth="1"/>
    <col min="6593" max="6593" width="4" style="86" customWidth="1"/>
    <col min="6594" max="6598" width="3.33203125" style="86" customWidth="1"/>
    <col min="6599" max="6599" width="4.5546875" style="86" customWidth="1"/>
    <col min="6600" max="6600" width="3.33203125" style="86" customWidth="1"/>
    <col min="6601" max="6603" width="4.5546875" style="86" customWidth="1"/>
    <col min="6604" max="6604" width="3.33203125" style="86" customWidth="1"/>
    <col min="6605" max="6610" width="4.5546875" style="86" customWidth="1"/>
    <col min="6611" max="6611" width="6.44140625" style="86" customWidth="1"/>
    <col min="6612" max="6622" width="4.5546875" style="86" customWidth="1"/>
    <col min="6623" max="6624" width="5.6640625" style="86" customWidth="1"/>
    <col min="6625" max="6625" width="9" style="86" customWidth="1"/>
    <col min="6626" max="6626" width="10" style="86" customWidth="1"/>
    <col min="6627" max="6627" width="8.5546875" style="86" customWidth="1"/>
    <col min="6628" max="6628" width="13" style="86" customWidth="1"/>
    <col min="6629" max="6629" width="13.109375" style="86" customWidth="1"/>
    <col min="6630" max="6630" width="10.44140625" style="86" customWidth="1"/>
    <col min="6631" max="6631" width="9.33203125" style="86" customWidth="1"/>
    <col min="6632" max="6632" width="9.44140625" style="86" customWidth="1"/>
    <col min="6633" max="6633" width="8.109375" style="86" customWidth="1"/>
    <col min="6634" max="6634" width="11.6640625" style="86" customWidth="1"/>
    <col min="6635" max="6635" width="11.33203125" style="86" customWidth="1"/>
    <col min="6636" max="6636" width="10.6640625" style="86" customWidth="1"/>
    <col min="6637" max="6637" width="20.5546875" style="86" bestFit="1" customWidth="1"/>
    <col min="6638" max="6638" width="11.44140625" style="86" customWidth="1"/>
    <col min="6639" max="6639" width="9.109375" style="86"/>
    <col min="6640" max="6640" width="10" style="86" customWidth="1"/>
    <col min="6641" max="6641" width="12.5546875" style="86" customWidth="1"/>
    <col min="6642" max="6642" width="10.44140625" style="86" customWidth="1"/>
    <col min="6643" max="6813" width="9.109375" style="86"/>
    <col min="6814" max="6814" width="16.109375" style="86" customWidth="1"/>
    <col min="6815" max="6815" width="12.88671875" style="86" customWidth="1"/>
    <col min="6816" max="6816" width="16.109375" style="86" customWidth="1"/>
    <col min="6817" max="6817" width="48.5546875" style="86" customWidth="1"/>
    <col min="6818" max="6818" width="12.44140625" style="86" customWidth="1"/>
    <col min="6819" max="6819" width="9.6640625" style="86" customWidth="1"/>
    <col min="6820" max="6820" width="11" style="86" customWidth="1"/>
    <col min="6821" max="6821" width="6.5546875" style="86" customWidth="1"/>
    <col min="6822" max="6822" width="7.44140625" style="86" customWidth="1"/>
    <col min="6823" max="6823" width="6.6640625" style="86" customWidth="1"/>
    <col min="6824" max="6824" width="12.5546875" style="86" customWidth="1"/>
    <col min="6825" max="6825" width="8.5546875" style="86" customWidth="1"/>
    <col min="6826" max="6826" width="9.109375" style="86" customWidth="1"/>
    <col min="6827" max="6827" width="13.88671875" style="86" customWidth="1"/>
    <col min="6828" max="6828" width="14" style="86" customWidth="1"/>
    <col min="6829" max="6829" width="4.5546875" style="86" customWidth="1"/>
    <col min="6830" max="6830" width="5.109375" style="86" customWidth="1"/>
    <col min="6831" max="6831" width="5" style="86" customWidth="1"/>
    <col min="6832" max="6832" width="6" style="86" customWidth="1"/>
    <col min="6833" max="6833" width="5.6640625" style="86" customWidth="1"/>
    <col min="6834" max="6834" width="4.88671875" style="86" customWidth="1"/>
    <col min="6835" max="6835" width="3.33203125" style="86" customWidth="1"/>
    <col min="6836" max="6836" width="38" style="86" customWidth="1"/>
    <col min="6837" max="6837" width="5.5546875" style="86" customWidth="1"/>
    <col min="6838" max="6838" width="5.33203125" style="86" customWidth="1"/>
    <col min="6839" max="6839" width="7.88671875" style="86" customWidth="1"/>
    <col min="6840" max="6840" width="5.6640625" style="86" customWidth="1"/>
    <col min="6841" max="6841" width="12.33203125" style="86" customWidth="1"/>
    <col min="6842" max="6842" width="10.44140625" style="86" customWidth="1"/>
    <col min="6843" max="6843" width="11.44140625" style="86" customWidth="1"/>
    <col min="6844" max="6844" width="24.88671875" style="86" customWidth="1"/>
    <col min="6845" max="6848" width="3.33203125" style="86" customWidth="1"/>
    <col min="6849" max="6849" width="4" style="86" customWidth="1"/>
    <col min="6850" max="6854" width="3.33203125" style="86" customWidth="1"/>
    <col min="6855" max="6855" width="4.5546875" style="86" customWidth="1"/>
    <col min="6856" max="6856" width="3.33203125" style="86" customWidth="1"/>
    <col min="6857" max="6859" width="4.5546875" style="86" customWidth="1"/>
    <col min="6860" max="6860" width="3.33203125" style="86" customWidth="1"/>
    <col min="6861" max="6866" width="4.5546875" style="86" customWidth="1"/>
    <col min="6867" max="6867" width="6.44140625" style="86" customWidth="1"/>
    <col min="6868" max="6878" width="4.5546875" style="86" customWidth="1"/>
    <col min="6879" max="6880" width="5.6640625" style="86" customWidth="1"/>
    <col min="6881" max="6881" width="9" style="86" customWidth="1"/>
    <col min="6882" max="6882" width="10" style="86" customWidth="1"/>
    <col min="6883" max="6883" width="8.5546875" style="86" customWidth="1"/>
    <col min="6884" max="6884" width="13" style="86" customWidth="1"/>
    <col min="6885" max="6885" width="13.109375" style="86" customWidth="1"/>
    <col min="6886" max="6886" width="10.44140625" style="86" customWidth="1"/>
    <col min="6887" max="6887" width="9.33203125" style="86" customWidth="1"/>
    <col min="6888" max="6888" width="9.44140625" style="86" customWidth="1"/>
    <col min="6889" max="6889" width="8.109375" style="86" customWidth="1"/>
    <col min="6890" max="6890" width="11.6640625" style="86" customWidth="1"/>
    <col min="6891" max="6891" width="11.33203125" style="86" customWidth="1"/>
    <col min="6892" max="6892" width="10.6640625" style="86" customWidth="1"/>
    <col min="6893" max="6893" width="20.5546875" style="86" bestFit="1" customWidth="1"/>
    <col min="6894" max="6894" width="11.44140625" style="86" customWidth="1"/>
    <col min="6895" max="6895" width="9.109375" style="86"/>
    <col min="6896" max="6896" width="10" style="86" customWidth="1"/>
    <col min="6897" max="6897" width="12.5546875" style="86" customWidth="1"/>
    <col min="6898" max="6898" width="10.44140625" style="86" customWidth="1"/>
    <col min="6899" max="7069" width="9.109375" style="86"/>
    <col min="7070" max="7070" width="16.109375" style="86" customWidth="1"/>
    <col min="7071" max="7071" width="12.88671875" style="86" customWidth="1"/>
    <col min="7072" max="7072" width="16.109375" style="86" customWidth="1"/>
    <col min="7073" max="7073" width="48.5546875" style="86" customWidth="1"/>
    <col min="7074" max="7074" width="12.44140625" style="86" customWidth="1"/>
    <col min="7075" max="7075" width="9.6640625" style="86" customWidth="1"/>
    <col min="7076" max="7076" width="11" style="86" customWidth="1"/>
    <col min="7077" max="7077" width="6.5546875" style="86" customWidth="1"/>
    <col min="7078" max="7078" width="7.44140625" style="86" customWidth="1"/>
    <col min="7079" max="7079" width="6.6640625" style="86" customWidth="1"/>
    <col min="7080" max="7080" width="12.5546875" style="86" customWidth="1"/>
    <col min="7081" max="7081" width="8.5546875" style="86" customWidth="1"/>
    <col min="7082" max="7082" width="9.109375" style="86" customWidth="1"/>
    <col min="7083" max="7083" width="13.88671875" style="86" customWidth="1"/>
    <col min="7084" max="7084" width="14" style="86" customWidth="1"/>
    <col min="7085" max="7085" width="4.5546875" style="86" customWidth="1"/>
    <col min="7086" max="7086" width="5.109375" style="86" customWidth="1"/>
    <col min="7087" max="7087" width="5" style="86" customWidth="1"/>
    <col min="7088" max="7088" width="6" style="86" customWidth="1"/>
    <col min="7089" max="7089" width="5.6640625" style="86" customWidth="1"/>
    <col min="7090" max="7090" width="4.88671875" style="86" customWidth="1"/>
    <col min="7091" max="7091" width="3.33203125" style="86" customWidth="1"/>
    <col min="7092" max="7092" width="38" style="86" customWidth="1"/>
    <col min="7093" max="7093" width="5.5546875" style="86" customWidth="1"/>
    <col min="7094" max="7094" width="5.33203125" style="86" customWidth="1"/>
    <col min="7095" max="7095" width="7.88671875" style="86" customWidth="1"/>
    <col min="7096" max="7096" width="5.6640625" style="86" customWidth="1"/>
    <col min="7097" max="7097" width="12.33203125" style="86" customWidth="1"/>
    <col min="7098" max="7098" width="10.44140625" style="86" customWidth="1"/>
    <col min="7099" max="7099" width="11.44140625" style="86" customWidth="1"/>
    <col min="7100" max="7100" width="24.88671875" style="86" customWidth="1"/>
    <col min="7101" max="7104" width="3.33203125" style="86" customWidth="1"/>
    <col min="7105" max="7105" width="4" style="86" customWidth="1"/>
    <col min="7106" max="7110" width="3.33203125" style="86" customWidth="1"/>
    <col min="7111" max="7111" width="4.5546875" style="86" customWidth="1"/>
    <col min="7112" max="7112" width="3.33203125" style="86" customWidth="1"/>
    <col min="7113" max="7115" width="4.5546875" style="86" customWidth="1"/>
    <col min="7116" max="7116" width="3.33203125" style="86" customWidth="1"/>
    <col min="7117" max="7122" width="4.5546875" style="86" customWidth="1"/>
    <col min="7123" max="7123" width="6.44140625" style="86" customWidth="1"/>
    <col min="7124" max="7134" width="4.5546875" style="86" customWidth="1"/>
    <col min="7135" max="7136" width="5.6640625" style="86" customWidth="1"/>
    <col min="7137" max="7137" width="9" style="86" customWidth="1"/>
    <col min="7138" max="7138" width="10" style="86" customWidth="1"/>
    <col min="7139" max="7139" width="8.5546875" style="86" customWidth="1"/>
    <col min="7140" max="7140" width="13" style="86" customWidth="1"/>
    <col min="7141" max="7141" width="13.109375" style="86" customWidth="1"/>
    <col min="7142" max="7142" width="10.44140625" style="86" customWidth="1"/>
    <col min="7143" max="7143" width="9.33203125" style="86" customWidth="1"/>
    <col min="7144" max="7144" width="9.44140625" style="86" customWidth="1"/>
    <col min="7145" max="7145" width="8.109375" style="86" customWidth="1"/>
    <col min="7146" max="7146" width="11.6640625" style="86" customWidth="1"/>
    <col min="7147" max="7147" width="11.33203125" style="86" customWidth="1"/>
    <col min="7148" max="7148" width="10.6640625" style="86" customWidth="1"/>
    <col min="7149" max="7149" width="20.5546875" style="86" bestFit="1" customWidth="1"/>
    <col min="7150" max="7150" width="11.44140625" style="86" customWidth="1"/>
    <col min="7151" max="7151" width="9.109375" style="86"/>
    <col min="7152" max="7152" width="10" style="86" customWidth="1"/>
    <col min="7153" max="7153" width="12.5546875" style="86" customWidth="1"/>
    <col min="7154" max="7154" width="10.44140625" style="86" customWidth="1"/>
    <col min="7155" max="7325" width="9.109375" style="86"/>
    <col min="7326" max="7326" width="16.109375" style="86" customWidth="1"/>
    <col min="7327" max="7327" width="12.88671875" style="86" customWidth="1"/>
    <col min="7328" max="7328" width="16.109375" style="86" customWidth="1"/>
    <col min="7329" max="7329" width="48.5546875" style="86" customWidth="1"/>
    <col min="7330" max="7330" width="12.44140625" style="86" customWidth="1"/>
    <col min="7331" max="7331" width="9.6640625" style="86" customWidth="1"/>
    <col min="7332" max="7332" width="11" style="86" customWidth="1"/>
    <col min="7333" max="7333" width="6.5546875" style="86" customWidth="1"/>
    <col min="7334" max="7334" width="7.44140625" style="86" customWidth="1"/>
    <col min="7335" max="7335" width="6.6640625" style="86" customWidth="1"/>
    <col min="7336" max="7336" width="12.5546875" style="86" customWidth="1"/>
    <col min="7337" max="7337" width="8.5546875" style="86" customWidth="1"/>
    <col min="7338" max="7338" width="9.109375" style="86" customWidth="1"/>
    <col min="7339" max="7339" width="13.88671875" style="86" customWidth="1"/>
    <col min="7340" max="7340" width="14" style="86" customWidth="1"/>
    <col min="7341" max="7341" width="4.5546875" style="86" customWidth="1"/>
    <col min="7342" max="7342" width="5.109375" style="86" customWidth="1"/>
    <col min="7343" max="7343" width="5" style="86" customWidth="1"/>
    <col min="7344" max="7344" width="6" style="86" customWidth="1"/>
    <col min="7345" max="7345" width="5.6640625" style="86" customWidth="1"/>
    <col min="7346" max="7346" width="4.88671875" style="86" customWidth="1"/>
    <col min="7347" max="7347" width="3.33203125" style="86" customWidth="1"/>
    <col min="7348" max="7348" width="38" style="86" customWidth="1"/>
    <col min="7349" max="7349" width="5.5546875" style="86" customWidth="1"/>
    <col min="7350" max="7350" width="5.33203125" style="86" customWidth="1"/>
    <col min="7351" max="7351" width="7.88671875" style="86" customWidth="1"/>
    <col min="7352" max="7352" width="5.6640625" style="86" customWidth="1"/>
    <col min="7353" max="7353" width="12.33203125" style="86" customWidth="1"/>
    <col min="7354" max="7354" width="10.44140625" style="86" customWidth="1"/>
    <col min="7355" max="7355" width="11.44140625" style="86" customWidth="1"/>
    <col min="7356" max="7356" width="24.88671875" style="86" customWidth="1"/>
    <col min="7357" max="7360" width="3.33203125" style="86" customWidth="1"/>
    <col min="7361" max="7361" width="4" style="86" customWidth="1"/>
    <col min="7362" max="7366" width="3.33203125" style="86" customWidth="1"/>
    <col min="7367" max="7367" width="4.5546875" style="86" customWidth="1"/>
    <col min="7368" max="7368" width="3.33203125" style="86" customWidth="1"/>
    <col min="7369" max="7371" width="4.5546875" style="86" customWidth="1"/>
    <col min="7372" max="7372" width="3.33203125" style="86" customWidth="1"/>
    <col min="7373" max="7378" width="4.5546875" style="86" customWidth="1"/>
    <col min="7379" max="7379" width="6.44140625" style="86" customWidth="1"/>
    <col min="7380" max="7390" width="4.5546875" style="86" customWidth="1"/>
    <col min="7391" max="7392" width="5.6640625" style="86" customWidth="1"/>
    <col min="7393" max="7393" width="9" style="86" customWidth="1"/>
    <col min="7394" max="7394" width="10" style="86" customWidth="1"/>
    <col min="7395" max="7395" width="8.5546875" style="86" customWidth="1"/>
    <col min="7396" max="7396" width="13" style="86" customWidth="1"/>
    <col min="7397" max="7397" width="13.109375" style="86" customWidth="1"/>
    <col min="7398" max="7398" width="10.44140625" style="86" customWidth="1"/>
    <col min="7399" max="7399" width="9.33203125" style="86" customWidth="1"/>
    <col min="7400" max="7400" width="9.44140625" style="86" customWidth="1"/>
    <col min="7401" max="7401" width="8.109375" style="86" customWidth="1"/>
    <col min="7402" max="7402" width="11.6640625" style="86" customWidth="1"/>
    <col min="7403" max="7403" width="11.33203125" style="86" customWidth="1"/>
    <col min="7404" max="7404" width="10.6640625" style="86" customWidth="1"/>
    <col min="7405" max="7405" width="20.5546875" style="86" bestFit="1" customWidth="1"/>
    <col min="7406" max="7406" width="11.44140625" style="86" customWidth="1"/>
    <col min="7407" max="7407" width="9.109375" style="86"/>
    <col min="7408" max="7408" width="10" style="86" customWidth="1"/>
    <col min="7409" max="7409" width="12.5546875" style="86" customWidth="1"/>
    <col min="7410" max="7410" width="10.44140625" style="86" customWidth="1"/>
    <col min="7411" max="7581" width="9.109375" style="86"/>
    <col min="7582" max="7582" width="16.109375" style="86" customWidth="1"/>
    <col min="7583" max="7583" width="12.88671875" style="86" customWidth="1"/>
    <col min="7584" max="7584" width="16.109375" style="86" customWidth="1"/>
    <col min="7585" max="7585" width="48.5546875" style="86" customWidth="1"/>
    <col min="7586" max="7586" width="12.44140625" style="86" customWidth="1"/>
    <col min="7587" max="7587" width="9.6640625" style="86" customWidth="1"/>
    <col min="7588" max="7588" width="11" style="86" customWidth="1"/>
    <col min="7589" max="7589" width="6.5546875" style="86" customWidth="1"/>
    <col min="7590" max="7590" width="7.44140625" style="86" customWidth="1"/>
    <col min="7591" max="7591" width="6.6640625" style="86" customWidth="1"/>
    <col min="7592" max="7592" width="12.5546875" style="86" customWidth="1"/>
    <col min="7593" max="7593" width="8.5546875" style="86" customWidth="1"/>
    <col min="7594" max="7594" width="9.109375" style="86" customWidth="1"/>
    <col min="7595" max="7595" width="13.88671875" style="86" customWidth="1"/>
    <col min="7596" max="7596" width="14" style="86" customWidth="1"/>
    <col min="7597" max="7597" width="4.5546875" style="86" customWidth="1"/>
    <col min="7598" max="7598" width="5.109375" style="86" customWidth="1"/>
    <col min="7599" max="7599" width="5" style="86" customWidth="1"/>
    <col min="7600" max="7600" width="6" style="86" customWidth="1"/>
    <col min="7601" max="7601" width="5.6640625" style="86" customWidth="1"/>
    <col min="7602" max="7602" width="4.88671875" style="86" customWidth="1"/>
    <col min="7603" max="7603" width="3.33203125" style="86" customWidth="1"/>
    <col min="7604" max="7604" width="38" style="86" customWidth="1"/>
    <col min="7605" max="7605" width="5.5546875" style="86" customWidth="1"/>
    <col min="7606" max="7606" width="5.33203125" style="86" customWidth="1"/>
    <col min="7607" max="7607" width="7.88671875" style="86" customWidth="1"/>
    <col min="7608" max="7608" width="5.6640625" style="86" customWidth="1"/>
    <col min="7609" max="7609" width="12.33203125" style="86" customWidth="1"/>
    <col min="7610" max="7610" width="10.44140625" style="86" customWidth="1"/>
    <col min="7611" max="7611" width="11.44140625" style="86" customWidth="1"/>
    <col min="7612" max="7612" width="24.88671875" style="86" customWidth="1"/>
    <col min="7613" max="7616" width="3.33203125" style="86" customWidth="1"/>
    <col min="7617" max="7617" width="4" style="86" customWidth="1"/>
    <col min="7618" max="7622" width="3.33203125" style="86" customWidth="1"/>
    <col min="7623" max="7623" width="4.5546875" style="86" customWidth="1"/>
    <col min="7624" max="7624" width="3.33203125" style="86" customWidth="1"/>
    <col min="7625" max="7627" width="4.5546875" style="86" customWidth="1"/>
    <col min="7628" max="7628" width="3.33203125" style="86" customWidth="1"/>
    <col min="7629" max="7634" width="4.5546875" style="86" customWidth="1"/>
    <col min="7635" max="7635" width="6.44140625" style="86" customWidth="1"/>
    <col min="7636" max="7646" width="4.5546875" style="86" customWidth="1"/>
    <col min="7647" max="7648" width="5.6640625" style="86" customWidth="1"/>
    <col min="7649" max="7649" width="9" style="86" customWidth="1"/>
    <col min="7650" max="7650" width="10" style="86" customWidth="1"/>
    <col min="7651" max="7651" width="8.5546875" style="86" customWidth="1"/>
    <col min="7652" max="7652" width="13" style="86" customWidth="1"/>
    <col min="7653" max="7653" width="13.109375" style="86" customWidth="1"/>
    <col min="7654" max="7654" width="10.44140625" style="86" customWidth="1"/>
    <col min="7655" max="7655" width="9.33203125" style="86" customWidth="1"/>
    <col min="7656" max="7656" width="9.44140625" style="86" customWidth="1"/>
    <col min="7657" max="7657" width="8.109375" style="86" customWidth="1"/>
    <col min="7658" max="7658" width="11.6640625" style="86" customWidth="1"/>
    <col min="7659" max="7659" width="11.33203125" style="86" customWidth="1"/>
    <col min="7660" max="7660" width="10.6640625" style="86" customWidth="1"/>
    <col min="7661" max="7661" width="20.5546875" style="86" bestFit="1" customWidth="1"/>
    <col min="7662" max="7662" width="11.44140625" style="86" customWidth="1"/>
    <col min="7663" max="7663" width="9.109375" style="86"/>
    <col min="7664" max="7664" width="10" style="86" customWidth="1"/>
    <col min="7665" max="7665" width="12.5546875" style="86" customWidth="1"/>
    <col min="7666" max="7666" width="10.44140625" style="86" customWidth="1"/>
    <col min="7667" max="7837" width="9.109375" style="86"/>
    <col min="7838" max="7838" width="16.109375" style="86" customWidth="1"/>
    <col min="7839" max="7839" width="12.88671875" style="86" customWidth="1"/>
    <col min="7840" max="7840" width="16.109375" style="86" customWidth="1"/>
    <col min="7841" max="7841" width="48.5546875" style="86" customWidth="1"/>
    <col min="7842" max="7842" width="12.44140625" style="86" customWidth="1"/>
    <col min="7843" max="7843" width="9.6640625" style="86" customWidth="1"/>
    <col min="7844" max="7844" width="11" style="86" customWidth="1"/>
    <col min="7845" max="7845" width="6.5546875" style="86" customWidth="1"/>
    <col min="7846" max="7846" width="7.44140625" style="86" customWidth="1"/>
    <col min="7847" max="7847" width="6.6640625" style="86" customWidth="1"/>
    <col min="7848" max="7848" width="12.5546875" style="86" customWidth="1"/>
    <col min="7849" max="7849" width="8.5546875" style="86" customWidth="1"/>
    <col min="7850" max="7850" width="9.109375" style="86" customWidth="1"/>
    <col min="7851" max="7851" width="13.88671875" style="86" customWidth="1"/>
    <col min="7852" max="7852" width="14" style="86" customWidth="1"/>
    <col min="7853" max="7853" width="4.5546875" style="86" customWidth="1"/>
    <col min="7854" max="7854" width="5.109375" style="86" customWidth="1"/>
    <col min="7855" max="7855" width="5" style="86" customWidth="1"/>
    <col min="7856" max="7856" width="6" style="86" customWidth="1"/>
    <col min="7857" max="7857" width="5.6640625" style="86" customWidth="1"/>
    <col min="7858" max="7858" width="4.88671875" style="86" customWidth="1"/>
    <col min="7859" max="7859" width="3.33203125" style="86" customWidth="1"/>
    <col min="7860" max="7860" width="38" style="86" customWidth="1"/>
    <col min="7861" max="7861" width="5.5546875" style="86" customWidth="1"/>
    <col min="7862" max="7862" width="5.33203125" style="86" customWidth="1"/>
    <col min="7863" max="7863" width="7.88671875" style="86" customWidth="1"/>
    <col min="7864" max="7864" width="5.6640625" style="86" customWidth="1"/>
    <col min="7865" max="7865" width="12.33203125" style="86" customWidth="1"/>
    <col min="7866" max="7866" width="10.44140625" style="86" customWidth="1"/>
    <col min="7867" max="7867" width="11.44140625" style="86" customWidth="1"/>
    <col min="7868" max="7868" width="24.88671875" style="86" customWidth="1"/>
    <col min="7869" max="7872" width="3.33203125" style="86" customWidth="1"/>
    <col min="7873" max="7873" width="4" style="86" customWidth="1"/>
    <col min="7874" max="7878" width="3.33203125" style="86" customWidth="1"/>
    <col min="7879" max="7879" width="4.5546875" style="86" customWidth="1"/>
    <col min="7880" max="7880" width="3.33203125" style="86" customWidth="1"/>
    <col min="7881" max="7883" width="4.5546875" style="86" customWidth="1"/>
    <col min="7884" max="7884" width="3.33203125" style="86" customWidth="1"/>
    <col min="7885" max="7890" width="4.5546875" style="86" customWidth="1"/>
    <col min="7891" max="7891" width="6.44140625" style="86" customWidth="1"/>
    <col min="7892" max="7902" width="4.5546875" style="86" customWidth="1"/>
    <col min="7903" max="7904" width="5.6640625" style="86" customWidth="1"/>
    <col min="7905" max="7905" width="9" style="86" customWidth="1"/>
    <col min="7906" max="7906" width="10" style="86" customWidth="1"/>
    <col min="7907" max="7907" width="8.5546875" style="86" customWidth="1"/>
    <col min="7908" max="7908" width="13" style="86" customWidth="1"/>
    <col min="7909" max="7909" width="13.109375" style="86" customWidth="1"/>
    <col min="7910" max="7910" width="10.44140625" style="86" customWidth="1"/>
    <col min="7911" max="7911" width="9.33203125" style="86" customWidth="1"/>
    <col min="7912" max="7912" width="9.44140625" style="86" customWidth="1"/>
    <col min="7913" max="7913" width="8.109375" style="86" customWidth="1"/>
    <col min="7914" max="7914" width="11.6640625" style="86" customWidth="1"/>
    <col min="7915" max="7915" width="11.33203125" style="86" customWidth="1"/>
    <col min="7916" max="7916" width="10.6640625" style="86" customWidth="1"/>
    <col min="7917" max="7917" width="20.5546875" style="86" bestFit="1" customWidth="1"/>
    <col min="7918" max="7918" width="11.44140625" style="86" customWidth="1"/>
    <col min="7919" max="7919" width="9.109375" style="86"/>
    <col min="7920" max="7920" width="10" style="86" customWidth="1"/>
    <col min="7921" max="7921" width="12.5546875" style="86" customWidth="1"/>
    <col min="7922" max="7922" width="10.44140625" style="86" customWidth="1"/>
    <col min="7923" max="8093" width="9.109375" style="86"/>
    <col min="8094" max="8094" width="16.109375" style="86" customWidth="1"/>
    <col min="8095" max="8095" width="12.88671875" style="86" customWidth="1"/>
    <col min="8096" max="8096" width="16.109375" style="86" customWidth="1"/>
    <col min="8097" max="8097" width="48.5546875" style="86" customWidth="1"/>
    <col min="8098" max="8098" width="12.44140625" style="86" customWidth="1"/>
    <col min="8099" max="8099" width="9.6640625" style="86" customWidth="1"/>
    <col min="8100" max="8100" width="11" style="86" customWidth="1"/>
    <col min="8101" max="8101" width="6.5546875" style="86" customWidth="1"/>
    <col min="8102" max="8102" width="7.44140625" style="86" customWidth="1"/>
    <col min="8103" max="8103" width="6.6640625" style="86" customWidth="1"/>
    <col min="8104" max="8104" width="12.5546875" style="86" customWidth="1"/>
    <col min="8105" max="8105" width="8.5546875" style="86" customWidth="1"/>
    <col min="8106" max="8106" width="9.109375" style="86" customWidth="1"/>
    <col min="8107" max="8107" width="13.88671875" style="86" customWidth="1"/>
    <col min="8108" max="8108" width="14" style="86" customWidth="1"/>
    <col min="8109" max="8109" width="4.5546875" style="86" customWidth="1"/>
    <col min="8110" max="8110" width="5.109375" style="86" customWidth="1"/>
    <col min="8111" max="8111" width="5" style="86" customWidth="1"/>
    <col min="8112" max="8112" width="6" style="86" customWidth="1"/>
    <col min="8113" max="8113" width="5.6640625" style="86" customWidth="1"/>
    <col min="8114" max="8114" width="4.88671875" style="86" customWidth="1"/>
    <col min="8115" max="8115" width="3.33203125" style="86" customWidth="1"/>
    <col min="8116" max="8116" width="38" style="86" customWidth="1"/>
    <col min="8117" max="8117" width="5.5546875" style="86" customWidth="1"/>
    <col min="8118" max="8118" width="5.33203125" style="86" customWidth="1"/>
    <col min="8119" max="8119" width="7.88671875" style="86" customWidth="1"/>
    <col min="8120" max="8120" width="5.6640625" style="86" customWidth="1"/>
    <col min="8121" max="8121" width="12.33203125" style="86" customWidth="1"/>
    <col min="8122" max="8122" width="10.44140625" style="86" customWidth="1"/>
    <col min="8123" max="8123" width="11.44140625" style="86" customWidth="1"/>
    <col min="8124" max="8124" width="24.88671875" style="86" customWidth="1"/>
    <col min="8125" max="8128" width="3.33203125" style="86" customWidth="1"/>
    <col min="8129" max="8129" width="4" style="86" customWidth="1"/>
    <col min="8130" max="8134" width="3.33203125" style="86" customWidth="1"/>
    <col min="8135" max="8135" width="4.5546875" style="86" customWidth="1"/>
    <col min="8136" max="8136" width="3.33203125" style="86" customWidth="1"/>
    <col min="8137" max="8139" width="4.5546875" style="86" customWidth="1"/>
    <col min="8140" max="8140" width="3.33203125" style="86" customWidth="1"/>
    <col min="8141" max="8146" width="4.5546875" style="86" customWidth="1"/>
    <col min="8147" max="8147" width="6.44140625" style="86" customWidth="1"/>
    <col min="8148" max="8158" width="4.5546875" style="86" customWidth="1"/>
    <col min="8159" max="8160" width="5.6640625" style="86" customWidth="1"/>
    <col min="8161" max="8161" width="9" style="86" customWidth="1"/>
    <col min="8162" max="8162" width="10" style="86" customWidth="1"/>
    <col min="8163" max="8163" width="8.5546875" style="86" customWidth="1"/>
    <col min="8164" max="8164" width="13" style="86" customWidth="1"/>
    <col min="8165" max="8165" width="13.109375" style="86" customWidth="1"/>
    <col min="8166" max="8166" width="10.44140625" style="86" customWidth="1"/>
    <col min="8167" max="8167" width="9.33203125" style="86" customWidth="1"/>
    <col min="8168" max="8168" width="9.44140625" style="86" customWidth="1"/>
    <col min="8169" max="8169" width="8.109375" style="86" customWidth="1"/>
    <col min="8170" max="8170" width="11.6640625" style="86" customWidth="1"/>
    <col min="8171" max="8171" width="11.33203125" style="86" customWidth="1"/>
    <col min="8172" max="8172" width="10.6640625" style="86" customWidth="1"/>
    <col min="8173" max="8173" width="20.5546875" style="86" bestFit="1" customWidth="1"/>
    <col min="8174" max="8174" width="11.44140625" style="86" customWidth="1"/>
    <col min="8175" max="8175" width="9.109375" style="86"/>
    <col min="8176" max="8176" width="10" style="86" customWidth="1"/>
    <col min="8177" max="8177" width="12.5546875" style="86" customWidth="1"/>
    <col min="8178" max="8178" width="10.44140625" style="86" customWidth="1"/>
    <col min="8179" max="8349" width="9.109375" style="86"/>
    <col min="8350" max="8350" width="16.109375" style="86" customWidth="1"/>
    <col min="8351" max="8351" width="12.88671875" style="86" customWidth="1"/>
    <col min="8352" max="8352" width="16.109375" style="86" customWidth="1"/>
    <col min="8353" max="8353" width="48.5546875" style="86" customWidth="1"/>
    <col min="8354" max="8354" width="12.44140625" style="86" customWidth="1"/>
    <col min="8355" max="8355" width="9.6640625" style="86" customWidth="1"/>
    <col min="8356" max="8356" width="11" style="86" customWidth="1"/>
    <col min="8357" max="8357" width="6.5546875" style="86" customWidth="1"/>
    <col min="8358" max="8358" width="7.44140625" style="86" customWidth="1"/>
    <col min="8359" max="8359" width="6.6640625" style="86" customWidth="1"/>
    <col min="8360" max="8360" width="12.5546875" style="86" customWidth="1"/>
    <col min="8361" max="8361" width="8.5546875" style="86" customWidth="1"/>
    <col min="8362" max="8362" width="9.109375" style="86" customWidth="1"/>
    <col min="8363" max="8363" width="13.88671875" style="86" customWidth="1"/>
    <col min="8364" max="8364" width="14" style="86" customWidth="1"/>
    <col min="8365" max="8365" width="4.5546875" style="86" customWidth="1"/>
    <col min="8366" max="8366" width="5.109375" style="86" customWidth="1"/>
    <col min="8367" max="8367" width="5" style="86" customWidth="1"/>
    <col min="8368" max="8368" width="6" style="86" customWidth="1"/>
    <col min="8369" max="8369" width="5.6640625" style="86" customWidth="1"/>
    <col min="8370" max="8370" width="4.88671875" style="86" customWidth="1"/>
    <col min="8371" max="8371" width="3.33203125" style="86" customWidth="1"/>
    <col min="8372" max="8372" width="38" style="86" customWidth="1"/>
    <col min="8373" max="8373" width="5.5546875" style="86" customWidth="1"/>
    <col min="8374" max="8374" width="5.33203125" style="86" customWidth="1"/>
    <col min="8375" max="8375" width="7.88671875" style="86" customWidth="1"/>
    <col min="8376" max="8376" width="5.6640625" style="86" customWidth="1"/>
    <col min="8377" max="8377" width="12.33203125" style="86" customWidth="1"/>
    <col min="8378" max="8378" width="10.44140625" style="86" customWidth="1"/>
    <col min="8379" max="8379" width="11.44140625" style="86" customWidth="1"/>
    <col min="8380" max="8380" width="24.88671875" style="86" customWidth="1"/>
    <col min="8381" max="8384" width="3.33203125" style="86" customWidth="1"/>
    <col min="8385" max="8385" width="4" style="86" customWidth="1"/>
    <col min="8386" max="8390" width="3.33203125" style="86" customWidth="1"/>
    <col min="8391" max="8391" width="4.5546875" style="86" customWidth="1"/>
    <col min="8392" max="8392" width="3.33203125" style="86" customWidth="1"/>
    <col min="8393" max="8395" width="4.5546875" style="86" customWidth="1"/>
    <col min="8396" max="8396" width="3.33203125" style="86" customWidth="1"/>
    <col min="8397" max="8402" width="4.5546875" style="86" customWidth="1"/>
    <col min="8403" max="8403" width="6.44140625" style="86" customWidth="1"/>
    <col min="8404" max="8414" width="4.5546875" style="86" customWidth="1"/>
    <col min="8415" max="8416" width="5.6640625" style="86" customWidth="1"/>
    <col min="8417" max="8417" width="9" style="86" customWidth="1"/>
    <col min="8418" max="8418" width="10" style="86" customWidth="1"/>
    <col min="8419" max="8419" width="8.5546875" style="86" customWidth="1"/>
    <col min="8420" max="8420" width="13" style="86" customWidth="1"/>
    <col min="8421" max="8421" width="13.109375" style="86" customWidth="1"/>
    <col min="8422" max="8422" width="10.44140625" style="86" customWidth="1"/>
    <col min="8423" max="8423" width="9.33203125" style="86" customWidth="1"/>
    <col min="8424" max="8424" width="9.44140625" style="86" customWidth="1"/>
    <col min="8425" max="8425" width="8.109375" style="86" customWidth="1"/>
    <col min="8426" max="8426" width="11.6640625" style="86" customWidth="1"/>
    <col min="8427" max="8427" width="11.33203125" style="86" customWidth="1"/>
    <col min="8428" max="8428" width="10.6640625" style="86" customWidth="1"/>
    <col min="8429" max="8429" width="20.5546875" style="86" bestFit="1" customWidth="1"/>
    <col min="8430" max="8430" width="11.44140625" style="86" customWidth="1"/>
    <col min="8431" max="8431" width="9.109375" style="86"/>
    <col min="8432" max="8432" width="10" style="86" customWidth="1"/>
    <col min="8433" max="8433" width="12.5546875" style="86" customWidth="1"/>
    <col min="8434" max="8434" width="10.44140625" style="86" customWidth="1"/>
    <col min="8435" max="8605" width="9.109375" style="86"/>
    <col min="8606" max="8606" width="16.109375" style="86" customWidth="1"/>
    <col min="8607" max="8607" width="12.88671875" style="86" customWidth="1"/>
    <col min="8608" max="8608" width="16.109375" style="86" customWidth="1"/>
    <col min="8609" max="8609" width="48.5546875" style="86" customWidth="1"/>
    <col min="8610" max="8610" width="12.44140625" style="86" customWidth="1"/>
    <col min="8611" max="8611" width="9.6640625" style="86" customWidth="1"/>
    <col min="8612" max="8612" width="11" style="86" customWidth="1"/>
    <col min="8613" max="8613" width="6.5546875" style="86" customWidth="1"/>
    <col min="8614" max="8614" width="7.44140625" style="86" customWidth="1"/>
    <col min="8615" max="8615" width="6.6640625" style="86" customWidth="1"/>
    <col min="8616" max="8616" width="12.5546875" style="86" customWidth="1"/>
    <col min="8617" max="8617" width="8.5546875" style="86" customWidth="1"/>
    <col min="8618" max="8618" width="9.109375" style="86" customWidth="1"/>
    <col min="8619" max="8619" width="13.88671875" style="86" customWidth="1"/>
    <col min="8620" max="8620" width="14" style="86" customWidth="1"/>
    <col min="8621" max="8621" width="4.5546875" style="86" customWidth="1"/>
    <col min="8622" max="8622" width="5.109375" style="86" customWidth="1"/>
    <col min="8623" max="8623" width="5" style="86" customWidth="1"/>
    <col min="8624" max="8624" width="6" style="86" customWidth="1"/>
    <col min="8625" max="8625" width="5.6640625" style="86" customWidth="1"/>
    <col min="8626" max="8626" width="4.88671875" style="86" customWidth="1"/>
    <col min="8627" max="8627" width="3.33203125" style="86" customWidth="1"/>
    <col min="8628" max="8628" width="38" style="86" customWidth="1"/>
    <col min="8629" max="8629" width="5.5546875" style="86" customWidth="1"/>
    <col min="8630" max="8630" width="5.33203125" style="86" customWidth="1"/>
    <col min="8631" max="8631" width="7.88671875" style="86" customWidth="1"/>
    <col min="8632" max="8632" width="5.6640625" style="86" customWidth="1"/>
    <col min="8633" max="8633" width="12.33203125" style="86" customWidth="1"/>
    <col min="8634" max="8634" width="10.44140625" style="86" customWidth="1"/>
    <col min="8635" max="8635" width="11.44140625" style="86" customWidth="1"/>
    <col min="8636" max="8636" width="24.88671875" style="86" customWidth="1"/>
    <col min="8637" max="8640" width="3.33203125" style="86" customWidth="1"/>
    <col min="8641" max="8641" width="4" style="86" customWidth="1"/>
    <col min="8642" max="8646" width="3.33203125" style="86" customWidth="1"/>
    <col min="8647" max="8647" width="4.5546875" style="86" customWidth="1"/>
    <col min="8648" max="8648" width="3.33203125" style="86" customWidth="1"/>
    <col min="8649" max="8651" width="4.5546875" style="86" customWidth="1"/>
    <col min="8652" max="8652" width="3.33203125" style="86" customWidth="1"/>
    <col min="8653" max="8658" width="4.5546875" style="86" customWidth="1"/>
    <col min="8659" max="8659" width="6.44140625" style="86" customWidth="1"/>
    <col min="8660" max="8670" width="4.5546875" style="86" customWidth="1"/>
    <col min="8671" max="8672" width="5.6640625" style="86" customWidth="1"/>
    <col min="8673" max="8673" width="9" style="86" customWidth="1"/>
    <col min="8674" max="8674" width="10" style="86" customWidth="1"/>
    <col min="8675" max="8675" width="8.5546875" style="86" customWidth="1"/>
    <col min="8676" max="8676" width="13" style="86" customWidth="1"/>
    <col min="8677" max="8677" width="13.109375" style="86" customWidth="1"/>
    <col min="8678" max="8678" width="10.44140625" style="86" customWidth="1"/>
    <col min="8679" max="8679" width="9.33203125" style="86" customWidth="1"/>
    <col min="8680" max="8680" width="9.44140625" style="86" customWidth="1"/>
    <col min="8681" max="8681" width="8.109375" style="86" customWidth="1"/>
    <col min="8682" max="8682" width="11.6640625" style="86" customWidth="1"/>
    <col min="8683" max="8683" width="11.33203125" style="86" customWidth="1"/>
    <col min="8684" max="8684" width="10.6640625" style="86" customWidth="1"/>
    <col min="8685" max="8685" width="20.5546875" style="86" bestFit="1" customWidth="1"/>
    <col min="8686" max="8686" width="11.44140625" style="86" customWidth="1"/>
    <col min="8687" max="8687" width="9.109375" style="86"/>
    <col min="8688" max="8688" width="10" style="86" customWidth="1"/>
    <col min="8689" max="8689" width="12.5546875" style="86" customWidth="1"/>
    <col min="8690" max="8690" width="10.44140625" style="86" customWidth="1"/>
    <col min="8691" max="8861" width="9.109375" style="86"/>
    <col min="8862" max="8862" width="16.109375" style="86" customWidth="1"/>
    <col min="8863" max="8863" width="12.88671875" style="86" customWidth="1"/>
    <col min="8864" max="8864" width="16.109375" style="86" customWidth="1"/>
    <col min="8865" max="8865" width="48.5546875" style="86" customWidth="1"/>
    <col min="8866" max="8866" width="12.44140625" style="86" customWidth="1"/>
    <col min="8867" max="8867" width="9.6640625" style="86" customWidth="1"/>
    <col min="8868" max="8868" width="11" style="86" customWidth="1"/>
    <col min="8869" max="8869" width="6.5546875" style="86" customWidth="1"/>
    <col min="8870" max="8870" width="7.44140625" style="86" customWidth="1"/>
    <col min="8871" max="8871" width="6.6640625" style="86" customWidth="1"/>
    <col min="8872" max="8872" width="12.5546875" style="86" customWidth="1"/>
    <col min="8873" max="8873" width="8.5546875" style="86" customWidth="1"/>
    <col min="8874" max="8874" width="9.109375" style="86" customWidth="1"/>
    <col min="8875" max="8875" width="13.88671875" style="86" customWidth="1"/>
    <col min="8876" max="8876" width="14" style="86" customWidth="1"/>
    <col min="8877" max="8877" width="4.5546875" style="86" customWidth="1"/>
    <col min="8878" max="8878" width="5.109375" style="86" customWidth="1"/>
    <col min="8879" max="8879" width="5" style="86" customWidth="1"/>
    <col min="8880" max="8880" width="6" style="86" customWidth="1"/>
    <col min="8881" max="8881" width="5.6640625" style="86" customWidth="1"/>
    <col min="8882" max="8882" width="4.88671875" style="86" customWidth="1"/>
    <col min="8883" max="8883" width="3.33203125" style="86" customWidth="1"/>
    <col min="8884" max="8884" width="38" style="86" customWidth="1"/>
    <col min="8885" max="8885" width="5.5546875" style="86" customWidth="1"/>
    <col min="8886" max="8886" width="5.33203125" style="86" customWidth="1"/>
    <col min="8887" max="8887" width="7.88671875" style="86" customWidth="1"/>
    <col min="8888" max="8888" width="5.6640625" style="86" customWidth="1"/>
    <col min="8889" max="8889" width="12.33203125" style="86" customWidth="1"/>
    <col min="8890" max="8890" width="10.44140625" style="86" customWidth="1"/>
    <col min="8891" max="8891" width="11.44140625" style="86" customWidth="1"/>
    <col min="8892" max="8892" width="24.88671875" style="86" customWidth="1"/>
    <col min="8893" max="8896" width="3.33203125" style="86" customWidth="1"/>
    <col min="8897" max="8897" width="4" style="86" customWidth="1"/>
    <col min="8898" max="8902" width="3.33203125" style="86" customWidth="1"/>
    <col min="8903" max="8903" width="4.5546875" style="86" customWidth="1"/>
    <col min="8904" max="8904" width="3.33203125" style="86" customWidth="1"/>
    <col min="8905" max="8907" width="4.5546875" style="86" customWidth="1"/>
    <col min="8908" max="8908" width="3.33203125" style="86" customWidth="1"/>
    <col min="8909" max="8914" width="4.5546875" style="86" customWidth="1"/>
    <col min="8915" max="8915" width="6.44140625" style="86" customWidth="1"/>
    <col min="8916" max="8926" width="4.5546875" style="86" customWidth="1"/>
    <col min="8927" max="8928" width="5.6640625" style="86" customWidth="1"/>
    <col min="8929" max="8929" width="9" style="86" customWidth="1"/>
    <col min="8930" max="8930" width="10" style="86" customWidth="1"/>
    <col min="8931" max="8931" width="8.5546875" style="86" customWidth="1"/>
    <col min="8932" max="8932" width="13" style="86" customWidth="1"/>
    <col min="8933" max="8933" width="13.109375" style="86" customWidth="1"/>
    <col min="8934" max="8934" width="10.44140625" style="86" customWidth="1"/>
    <col min="8935" max="8935" width="9.33203125" style="86" customWidth="1"/>
    <col min="8936" max="8936" width="9.44140625" style="86" customWidth="1"/>
    <col min="8937" max="8937" width="8.109375" style="86" customWidth="1"/>
    <col min="8938" max="8938" width="11.6640625" style="86" customWidth="1"/>
    <col min="8939" max="8939" width="11.33203125" style="86" customWidth="1"/>
    <col min="8940" max="8940" width="10.6640625" style="86" customWidth="1"/>
    <col min="8941" max="8941" width="20.5546875" style="86" bestFit="1" customWidth="1"/>
    <col min="8942" max="8942" width="11.44140625" style="86" customWidth="1"/>
    <col min="8943" max="8943" width="9.109375" style="86"/>
    <col min="8944" max="8944" width="10" style="86" customWidth="1"/>
    <col min="8945" max="8945" width="12.5546875" style="86" customWidth="1"/>
    <col min="8946" max="8946" width="10.44140625" style="86" customWidth="1"/>
    <col min="8947" max="9117" width="9.109375" style="86"/>
    <col min="9118" max="9118" width="16.109375" style="86" customWidth="1"/>
    <col min="9119" max="9119" width="12.88671875" style="86" customWidth="1"/>
    <col min="9120" max="9120" width="16.109375" style="86" customWidth="1"/>
    <col min="9121" max="9121" width="48.5546875" style="86" customWidth="1"/>
    <col min="9122" max="9122" width="12.44140625" style="86" customWidth="1"/>
    <col min="9123" max="9123" width="9.6640625" style="86" customWidth="1"/>
    <col min="9124" max="9124" width="11" style="86" customWidth="1"/>
    <col min="9125" max="9125" width="6.5546875" style="86" customWidth="1"/>
    <col min="9126" max="9126" width="7.44140625" style="86" customWidth="1"/>
    <col min="9127" max="9127" width="6.6640625" style="86" customWidth="1"/>
    <col min="9128" max="9128" width="12.5546875" style="86" customWidth="1"/>
    <col min="9129" max="9129" width="8.5546875" style="86" customWidth="1"/>
    <col min="9130" max="9130" width="9.109375" style="86" customWidth="1"/>
    <col min="9131" max="9131" width="13.88671875" style="86" customWidth="1"/>
    <col min="9132" max="9132" width="14" style="86" customWidth="1"/>
    <col min="9133" max="9133" width="4.5546875" style="86" customWidth="1"/>
    <col min="9134" max="9134" width="5.109375" style="86" customWidth="1"/>
    <col min="9135" max="9135" width="5" style="86" customWidth="1"/>
    <col min="9136" max="9136" width="6" style="86" customWidth="1"/>
    <col min="9137" max="9137" width="5.6640625" style="86" customWidth="1"/>
    <col min="9138" max="9138" width="4.88671875" style="86" customWidth="1"/>
    <col min="9139" max="9139" width="3.33203125" style="86" customWidth="1"/>
    <col min="9140" max="9140" width="38" style="86" customWidth="1"/>
    <col min="9141" max="9141" width="5.5546875" style="86" customWidth="1"/>
    <col min="9142" max="9142" width="5.33203125" style="86" customWidth="1"/>
    <col min="9143" max="9143" width="7.88671875" style="86" customWidth="1"/>
    <col min="9144" max="9144" width="5.6640625" style="86" customWidth="1"/>
    <col min="9145" max="9145" width="12.33203125" style="86" customWidth="1"/>
    <col min="9146" max="9146" width="10.44140625" style="86" customWidth="1"/>
    <col min="9147" max="9147" width="11.44140625" style="86" customWidth="1"/>
    <col min="9148" max="9148" width="24.88671875" style="86" customWidth="1"/>
    <col min="9149" max="9152" width="3.33203125" style="86" customWidth="1"/>
    <col min="9153" max="9153" width="4" style="86" customWidth="1"/>
    <col min="9154" max="9158" width="3.33203125" style="86" customWidth="1"/>
    <col min="9159" max="9159" width="4.5546875" style="86" customWidth="1"/>
    <col min="9160" max="9160" width="3.33203125" style="86" customWidth="1"/>
    <col min="9161" max="9163" width="4.5546875" style="86" customWidth="1"/>
    <col min="9164" max="9164" width="3.33203125" style="86" customWidth="1"/>
    <col min="9165" max="9170" width="4.5546875" style="86" customWidth="1"/>
    <col min="9171" max="9171" width="6.44140625" style="86" customWidth="1"/>
    <col min="9172" max="9182" width="4.5546875" style="86" customWidth="1"/>
    <col min="9183" max="9184" width="5.6640625" style="86" customWidth="1"/>
    <col min="9185" max="9185" width="9" style="86" customWidth="1"/>
    <col min="9186" max="9186" width="10" style="86" customWidth="1"/>
    <col min="9187" max="9187" width="8.5546875" style="86" customWidth="1"/>
    <col min="9188" max="9188" width="13" style="86" customWidth="1"/>
    <col min="9189" max="9189" width="13.109375" style="86" customWidth="1"/>
    <col min="9190" max="9190" width="10.44140625" style="86" customWidth="1"/>
    <col min="9191" max="9191" width="9.33203125" style="86" customWidth="1"/>
    <col min="9192" max="9192" width="9.44140625" style="86" customWidth="1"/>
    <col min="9193" max="9193" width="8.109375" style="86" customWidth="1"/>
    <col min="9194" max="9194" width="11.6640625" style="86" customWidth="1"/>
    <col min="9195" max="9195" width="11.33203125" style="86" customWidth="1"/>
    <col min="9196" max="9196" width="10.6640625" style="86" customWidth="1"/>
    <col min="9197" max="9197" width="20.5546875" style="86" bestFit="1" customWidth="1"/>
    <col min="9198" max="9198" width="11.44140625" style="86" customWidth="1"/>
    <col min="9199" max="9199" width="9.109375" style="86"/>
    <col min="9200" max="9200" width="10" style="86" customWidth="1"/>
    <col min="9201" max="9201" width="12.5546875" style="86" customWidth="1"/>
    <col min="9202" max="9202" width="10.44140625" style="86" customWidth="1"/>
    <col min="9203" max="9373" width="9.109375" style="86"/>
    <col min="9374" max="9374" width="16.109375" style="86" customWidth="1"/>
    <col min="9375" max="9375" width="12.88671875" style="86" customWidth="1"/>
    <col min="9376" max="9376" width="16.109375" style="86" customWidth="1"/>
    <col min="9377" max="9377" width="48.5546875" style="86" customWidth="1"/>
    <col min="9378" max="9378" width="12.44140625" style="86" customWidth="1"/>
    <col min="9379" max="9379" width="9.6640625" style="86" customWidth="1"/>
    <col min="9380" max="9380" width="11" style="86" customWidth="1"/>
    <col min="9381" max="9381" width="6.5546875" style="86" customWidth="1"/>
    <col min="9382" max="9382" width="7.44140625" style="86" customWidth="1"/>
    <col min="9383" max="9383" width="6.6640625" style="86" customWidth="1"/>
    <col min="9384" max="9384" width="12.5546875" style="86" customWidth="1"/>
    <col min="9385" max="9385" width="8.5546875" style="86" customWidth="1"/>
    <col min="9386" max="9386" width="9.109375" style="86" customWidth="1"/>
    <col min="9387" max="9387" width="13.88671875" style="86" customWidth="1"/>
    <col min="9388" max="9388" width="14" style="86" customWidth="1"/>
    <col min="9389" max="9389" width="4.5546875" style="86" customWidth="1"/>
    <col min="9390" max="9390" width="5.109375" style="86" customWidth="1"/>
    <col min="9391" max="9391" width="5" style="86" customWidth="1"/>
    <col min="9392" max="9392" width="6" style="86" customWidth="1"/>
    <col min="9393" max="9393" width="5.6640625" style="86" customWidth="1"/>
    <col min="9394" max="9394" width="4.88671875" style="86" customWidth="1"/>
    <col min="9395" max="9395" width="3.33203125" style="86" customWidth="1"/>
    <col min="9396" max="9396" width="38" style="86" customWidth="1"/>
    <col min="9397" max="9397" width="5.5546875" style="86" customWidth="1"/>
    <col min="9398" max="9398" width="5.33203125" style="86" customWidth="1"/>
    <col min="9399" max="9399" width="7.88671875" style="86" customWidth="1"/>
    <col min="9400" max="9400" width="5.6640625" style="86" customWidth="1"/>
    <col min="9401" max="9401" width="12.33203125" style="86" customWidth="1"/>
    <col min="9402" max="9402" width="10.44140625" style="86" customWidth="1"/>
    <col min="9403" max="9403" width="11.44140625" style="86" customWidth="1"/>
    <col min="9404" max="9404" width="24.88671875" style="86" customWidth="1"/>
    <col min="9405" max="9408" width="3.33203125" style="86" customWidth="1"/>
    <col min="9409" max="9409" width="4" style="86" customWidth="1"/>
    <col min="9410" max="9414" width="3.33203125" style="86" customWidth="1"/>
    <col min="9415" max="9415" width="4.5546875" style="86" customWidth="1"/>
    <col min="9416" max="9416" width="3.33203125" style="86" customWidth="1"/>
    <col min="9417" max="9419" width="4.5546875" style="86" customWidth="1"/>
    <col min="9420" max="9420" width="3.33203125" style="86" customWidth="1"/>
    <col min="9421" max="9426" width="4.5546875" style="86" customWidth="1"/>
    <col min="9427" max="9427" width="6.44140625" style="86" customWidth="1"/>
    <col min="9428" max="9438" width="4.5546875" style="86" customWidth="1"/>
    <col min="9439" max="9440" width="5.6640625" style="86" customWidth="1"/>
    <col min="9441" max="9441" width="9" style="86" customWidth="1"/>
    <col min="9442" max="9442" width="10" style="86" customWidth="1"/>
    <col min="9443" max="9443" width="8.5546875" style="86" customWidth="1"/>
    <col min="9444" max="9444" width="13" style="86" customWidth="1"/>
    <col min="9445" max="9445" width="13.109375" style="86" customWidth="1"/>
    <col min="9446" max="9446" width="10.44140625" style="86" customWidth="1"/>
    <col min="9447" max="9447" width="9.33203125" style="86" customWidth="1"/>
    <col min="9448" max="9448" width="9.44140625" style="86" customWidth="1"/>
    <col min="9449" max="9449" width="8.109375" style="86" customWidth="1"/>
    <col min="9450" max="9450" width="11.6640625" style="86" customWidth="1"/>
    <col min="9451" max="9451" width="11.33203125" style="86" customWidth="1"/>
    <col min="9452" max="9452" width="10.6640625" style="86" customWidth="1"/>
    <col min="9453" max="9453" width="20.5546875" style="86" bestFit="1" customWidth="1"/>
    <col min="9454" max="9454" width="11.44140625" style="86" customWidth="1"/>
    <col min="9455" max="9455" width="9.109375" style="86"/>
    <col min="9456" max="9456" width="10" style="86" customWidth="1"/>
    <col min="9457" max="9457" width="12.5546875" style="86" customWidth="1"/>
    <col min="9458" max="9458" width="10.44140625" style="86" customWidth="1"/>
    <col min="9459" max="9629" width="9.109375" style="86"/>
    <col min="9630" max="9630" width="16.109375" style="86" customWidth="1"/>
    <col min="9631" max="9631" width="12.88671875" style="86" customWidth="1"/>
    <col min="9632" max="9632" width="16.109375" style="86" customWidth="1"/>
    <col min="9633" max="9633" width="48.5546875" style="86" customWidth="1"/>
    <col min="9634" max="9634" width="12.44140625" style="86" customWidth="1"/>
    <col min="9635" max="9635" width="9.6640625" style="86" customWidth="1"/>
    <col min="9636" max="9636" width="11" style="86" customWidth="1"/>
    <col min="9637" max="9637" width="6.5546875" style="86" customWidth="1"/>
    <col min="9638" max="9638" width="7.44140625" style="86" customWidth="1"/>
    <col min="9639" max="9639" width="6.6640625" style="86" customWidth="1"/>
    <col min="9640" max="9640" width="12.5546875" style="86" customWidth="1"/>
    <col min="9641" max="9641" width="8.5546875" style="86" customWidth="1"/>
    <col min="9642" max="9642" width="9.109375" style="86" customWidth="1"/>
    <col min="9643" max="9643" width="13.88671875" style="86" customWidth="1"/>
    <col min="9644" max="9644" width="14" style="86" customWidth="1"/>
    <col min="9645" max="9645" width="4.5546875" style="86" customWidth="1"/>
    <col min="9646" max="9646" width="5.109375" style="86" customWidth="1"/>
    <col min="9647" max="9647" width="5" style="86" customWidth="1"/>
    <col min="9648" max="9648" width="6" style="86" customWidth="1"/>
    <col min="9649" max="9649" width="5.6640625" style="86" customWidth="1"/>
    <col min="9650" max="9650" width="4.88671875" style="86" customWidth="1"/>
    <col min="9651" max="9651" width="3.33203125" style="86" customWidth="1"/>
    <col min="9652" max="9652" width="38" style="86" customWidth="1"/>
    <col min="9653" max="9653" width="5.5546875" style="86" customWidth="1"/>
    <col min="9654" max="9654" width="5.33203125" style="86" customWidth="1"/>
    <col min="9655" max="9655" width="7.88671875" style="86" customWidth="1"/>
    <col min="9656" max="9656" width="5.6640625" style="86" customWidth="1"/>
    <col min="9657" max="9657" width="12.33203125" style="86" customWidth="1"/>
    <col min="9658" max="9658" width="10.44140625" style="86" customWidth="1"/>
    <col min="9659" max="9659" width="11.44140625" style="86" customWidth="1"/>
    <col min="9660" max="9660" width="24.88671875" style="86" customWidth="1"/>
    <col min="9661" max="9664" width="3.33203125" style="86" customWidth="1"/>
    <col min="9665" max="9665" width="4" style="86" customWidth="1"/>
    <col min="9666" max="9670" width="3.33203125" style="86" customWidth="1"/>
    <col min="9671" max="9671" width="4.5546875" style="86" customWidth="1"/>
    <col min="9672" max="9672" width="3.33203125" style="86" customWidth="1"/>
    <col min="9673" max="9675" width="4.5546875" style="86" customWidth="1"/>
    <col min="9676" max="9676" width="3.33203125" style="86" customWidth="1"/>
    <col min="9677" max="9682" width="4.5546875" style="86" customWidth="1"/>
    <col min="9683" max="9683" width="6.44140625" style="86" customWidth="1"/>
    <col min="9684" max="9694" width="4.5546875" style="86" customWidth="1"/>
    <col min="9695" max="9696" width="5.6640625" style="86" customWidth="1"/>
    <col min="9697" max="9697" width="9" style="86" customWidth="1"/>
    <col min="9698" max="9698" width="10" style="86" customWidth="1"/>
    <col min="9699" max="9699" width="8.5546875" style="86" customWidth="1"/>
    <col min="9700" max="9700" width="13" style="86" customWidth="1"/>
    <col min="9701" max="9701" width="13.109375" style="86" customWidth="1"/>
    <col min="9702" max="9702" width="10.44140625" style="86" customWidth="1"/>
    <col min="9703" max="9703" width="9.33203125" style="86" customWidth="1"/>
    <col min="9704" max="9704" width="9.44140625" style="86" customWidth="1"/>
    <col min="9705" max="9705" width="8.109375" style="86" customWidth="1"/>
    <col min="9706" max="9706" width="11.6640625" style="86" customWidth="1"/>
    <col min="9707" max="9707" width="11.33203125" style="86" customWidth="1"/>
    <col min="9708" max="9708" width="10.6640625" style="86" customWidth="1"/>
    <col min="9709" max="9709" width="20.5546875" style="86" bestFit="1" customWidth="1"/>
    <col min="9710" max="9710" width="11.44140625" style="86" customWidth="1"/>
    <col min="9711" max="9711" width="9.109375" style="86"/>
    <col min="9712" max="9712" width="10" style="86" customWidth="1"/>
    <col min="9713" max="9713" width="12.5546875" style="86" customWidth="1"/>
    <col min="9714" max="9714" width="10.44140625" style="86" customWidth="1"/>
    <col min="9715" max="9885" width="9.109375" style="86"/>
    <col min="9886" max="9886" width="16.109375" style="86" customWidth="1"/>
    <col min="9887" max="9887" width="12.88671875" style="86" customWidth="1"/>
    <col min="9888" max="9888" width="16.109375" style="86" customWidth="1"/>
    <col min="9889" max="9889" width="48.5546875" style="86" customWidth="1"/>
    <col min="9890" max="9890" width="12.44140625" style="86" customWidth="1"/>
    <col min="9891" max="9891" width="9.6640625" style="86" customWidth="1"/>
    <col min="9892" max="9892" width="11" style="86" customWidth="1"/>
    <col min="9893" max="9893" width="6.5546875" style="86" customWidth="1"/>
    <col min="9894" max="9894" width="7.44140625" style="86" customWidth="1"/>
    <col min="9895" max="9895" width="6.6640625" style="86" customWidth="1"/>
    <col min="9896" max="9896" width="12.5546875" style="86" customWidth="1"/>
    <col min="9897" max="9897" width="8.5546875" style="86" customWidth="1"/>
    <col min="9898" max="9898" width="9.109375" style="86" customWidth="1"/>
    <col min="9899" max="9899" width="13.88671875" style="86" customWidth="1"/>
    <col min="9900" max="9900" width="14" style="86" customWidth="1"/>
    <col min="9901" max="9901" width="4.5546875" style="86" customWidth="1"/>
    <col min="9902" max="9902" width="5.109375" style="86" customWidth="1"/>
    <col min="9903" max="9903" width="5" style="86" customWidth="1"/>
    <col min="9904" max="9904" width="6" style="86" customWidth="1"/>
    <col min="9905" max="9905" width="5.6640625" style="86" customWidth="1"/>
    <col min="9906" max="9906" width="4.88671875" style="86" customWidth="1"/>
    <col min="9907" max="9907" width="3.33203125" style="86" customWidth="1"/>
    <col min="9908" max="9908" width="38" style="86" customWidth="1"/>
    <col min="9909" max="9909" width="5.5546875" style="86" customWidth="1"/>
    <col min="9910" max="9910" width="5.33203125" style="86" customWidth="1"/>
    <col min="9911" max="9911" width="7.88671875" style="86" customWidth="1"/>
    <col min="9912" max="9912" width="5.6640625" style="86" customWidth="1"/>
    <col min="9913" max="9913" width="12.33203125" style="86" customWidth="1"/>
    <col min="9914" max="9914" width="10.44140625" style="86" customWidth="1"/>
    <col min="9915" max="9915" width="11.44140625" style="86" customWidth="1"/>
    <col min="9916" max="9916" width="24.88671875" style="86" customWidth="1"/>
    <col min="9917" max="9920" width="3.33203125" style="86" customWidth="1"/>
    <col min="9921" max="9921" width="4" style="86" customWidth="1"/>
    <col min="9922" max="9926" width="3.33203125" style="86" customWidth="1"/>
    <col min="9927" max="9927" width="4.5546875" style="86" customWidth="1"/>
    <col min="9928" max="9928" width="3.33203125" style="86" customWidth="1"/>
    <col min="9929" max="9931" width="4.5546875" style="86" customWidth="1"/>
    <col min="9932" max="9932" width="3.33203125" style="86" customWidth="1"/>
    <col min="9933" max="9938" width="4.5546875" style="86" customWidth="1"/>
    <col min="9939" max="9939" width="6.44140625" style="86" customWidth="1"/>
    <col min="9940" max="9950" width="4.5546875" style="86" customWidth="1"/>
    <col min="9951" max="9952" width="5.6640625" style="86" customWidth="1"/>
    <col min="9953" max="9953" width="9" style="86" customWidth="1"/>
    <col min="9954" max="9954" width="10" style="86" customWidth="1"/>
    <col min="9955" max="9955" width="8.5546875" style="86" customWidth="1"/>
    <col min="9956" max="9956" width="13" style="86" customWidth="1"/>
    <col min="9957" max="9957" width="13.109375" style="86" customWidth="1"/>
    <col min="9958" max="9958" width="10.44140625" style="86" customWidth="1"/>
    <col min="9959" max="9959" width="9.33203125" style="86" customWidth="1"/>
    <col min="9960" max="9960" width="9.44140625" style="86" customWidth="1"/>
    <col min="9961" max="9961" width="8.109375" style="86" customWidth="1"/>
    <col min="9962" max="9962" width="11.6640625" style="86" customWidth="1"/>
    <col min="9963" max="9963" width="11.33203125" style="86" customWidth="1"/>
    <col min="9964" max="9964" width="10.6640625" style="86" customWidth="1"/>
    <col min="9965" max="9965" width="20.5546875" style="86" bestFit="1" customWidth="1"/>
    <col min="9966" max="9966" width="11.44140625" style="86" customWidth="1"/>
    <col min="9967" max="9967" width="9.109375" style="86"/>
    <col min="9968" max="9968" width="10" style="86" customWidth="1"/>
    <col min="9969" max="9969" width="12.5546875" style="86" customWidth="1"/>
    <col min="9970" max="9970" width="10.44140625" style="86" customWidth="1"/>
    <col min="9971" max="10141" width="9.109375" style="86"/>
    <col min="10142" max="10142" width="16.109375" style="86" customWidth="1"/>
    <col min="10143" max="10143" width="12.88671875" style="86" customWidth="1"/>
    <col min="10144" max="10144" width="16.109375" style="86" customWidth="1"/>
    <col min="10145" max="10145" width="48.5546875" style="86" customWidth="1"/>
    <col min="10146" max="10146" width="12.44140625" style="86" customWidth="1"/>
    <col min="10147" max="10147" width="9.6640625" style="86" customWidth="1"/>
    <col min="10148" max="10148" width="11" style="86" customWidth="1"/>
    <col min="10149" max="10149" width="6.5546875" style="86" customWidth="1"/>
    <col min="10150" max="10150" width="7.44140625" style="86" customWidth="1"/>
    <col min="10151" max="10151" width="6.6640625" style="86" customWidth="1"/>
    <col min="10152" max="10152" width="12.5546875" style="86" customWidth="1"/>
    <col min="10153" max="10153" width="8.5546875" style="86" customWidth="1"/>
    <col min="10154" max="10154" width="9.109375" style="86" customWidth="1"/>
    <col min="10155" max="10155" width="13.88671875" style="86" customWidth="1"/>
    <col min="10156" max="10156" width="14" style="86" customWidth="1"/>
    <col min="10157" max="10157" width="4.5546875" style="86" customWidth="1"/>
    <col min="10158" max="10158" width="5.109375" style="86" customWidth="1"/>
    <col min="10159" max="10159" width="5" style="86" customWidth="1"/>
    <col min="10160" max="10160" width="6" style="86" customWidth="1"/>
    <col min="10161" max="10161" width="5.6640625" style="86" customWidth="1"/>
    <col min="10162" max="10162" width="4.88671875" style="86" customWidth="1"/>
    <col min="10163" max="10163" width="3.33203125" style="86" customWidth="1"/>
    <col min="10164" max="10164" width="38" style="86" customWidth="1"/>
    <col min="10165" max="10165" width="5.5546875" style="86" customWidth="1"/>
    <col min="10166" max="10166" width="5.33203125" style="86" customWidth="1"/>
    <col min="10167" max="10167" width="7.88671875" style="86" customWidth="1"/>
    <col min="10168" max="10168" width="5.6640625" style="86" customWidth="1"/>
    <col min="10169" max="10169" width="12.33203125" style="86" customWidth="1"/>
    <col min="10170" max="10170" width="10.44140625" style="86" customWidth="1"/>
    <col min="10171" max="10171" width="11.44140625" style="86" customWidth="1"/>
    <col min="10172" max="10172" width="24.88671875" style="86" customWidth="1"/>
    <col min="10173" max="10176" width="3.33203125" style="86" customWidth="1"/>
    <col min="10177" max="10177" width="4" style="86" customWidth="1"/>
    <col min="10178" max="10182" width="3.33203125" style="86" customWidth="1"/>
    <col min="10183" max="10183" width="4.5546875" style="86" customWidth="1"/>
    <col min="10184" max="10184" width="3.33203125" style="86" customWidth="1"/>
    <col min="10185" max="10187" width="4.5546875" style="86" customWidth="1"/>
    <col min="10188" max="10188" width="3.33203125" style="86" customWidth="1"/>
    <col min="10189" max="10194" width="4.5546875" style="86" customWidth="1"/>
    <col min="10195" max="10195" width="6.44140625" style="86" customWidth="1"/>
    <col min="10196" max="10206" width="4.5546875" style="86" customWidth="1"/>
    <col min="10207" max="10208" width="5.6640625" style="86" customWidth="1"/>
    <col min="10209" max="10209" width="9" style="86" customWidth="1"/>
    <col min="10210" max="10210" width="10" style="86" customWidth="1"/>
    <col min="10211" max="10211" width="8.5546875" style="86" customWidth="1"/>
    <col min="10212" max="10212" width="13" style="86" customWidth="1"/>
    <col min="10213" max="10213" width="13.109375" style="86" customWidth="1"/>
    <col min="10214" max="10214" width="10.44140625" style="86" customWidth="1"/>
    <col min="10215" max="10215" width="9.33203125" style="86" customWidth="1"/>
    <col min="10216" max="10216" width="9.44140625" style="86" customWidth="1"/>
    <col min="10217" max="10217" width="8.109375" style="86" customWidth="1"/>
    <col min="10218" max="10218" width="11.6640625" style="86" customWidth="1"/>
    <col min="10219" max="10219" width="11.33203125" style="86" customWidth="1"/>
    <col min="10220" max="10220" width="10.6640625" style="86" customWidth="1"/>
    <col min="10221" max="10221" width="20.5546875" style="86" bestFit="1" customWidth="1"/>
    <col min="10222" max="10222" width="11.44140625" style="86" customWidth="1"/>
    <col min="10223" max="10223" width="9.109375" style="86"/>
    <col min="10224" max="10224" width="10" style="86" customWidth="1"/>
    <col min="10225" max="10225" width="12.5546875" style="86" customWidth="1"/>
    <col min="10226" max="10226" width="10.44140625" style="86" customWidth="1"/>
    <col min="10227" max="10397" width="9.109375" style="86"/>
    <col min="10398" max="10398" width="16.109375" style="86" customWidth="1"/>
    <col min="10399" max="10399" width="12.88671875" style="86" customWidth="1"/>
    <col min="10400" max="10400" width="16.109375" style="86" customWidth="1"/>
    <col min="10401" max="10401" width="48.5546875" style="86" customWidth="1"/>
    <col min="10402" max="10402" width="12.44140625" style="86" customWidth="1"/>
    <col min="10403" max="10403" width="9.6640625" style="86" customWidth="1"/>
    <col min="10404" max="10404" width="11" style="86" customWidth="1"/>
    <col min="10405" max="10405" width="6.5546875" style="86" customWidth="1"/>
    <col min="10406" max="10406" width="7.44140625" style="86" customWidth="1"/>
    <col min="10407" max="10407" width="6.6640625" style="86" customWidth="1"/>
    <col min="10408" max="10408" width="12.5546875" style="86" customWidth="1"/>
    <col min="10409" max="10409" width="8.5546875" style="86" customWidth="1"/>
    <col min="10410" max="10410" width="9.109375" style="86" customWidth="1"/>
    <col min="10411" max="10411" width="13.88671875" style="86" customWidth="1"/>
    <col min="10412" max="10412" width="14" style="86" customWidth="1"/>
    <col min="10413" max="10413" width="4.5546875" style="86" customWidth="1"/>
    <col min="10414" max="10414" width="5.109375" style="86" customWidth="1"/>
    <col min="10415" max="10415" width="5" style="86" customWidth="1"/>
    <col min="10416" max="10416" width="6" style="86" customWidth="1"/>
    <col min="10417" max="10417" width="5.6640625" style="86" customWidth="1"/>
    <col min="10418" max="10418" width="4.88671875" style="86" customWidth="1"/>
    <col min="10419" max="10419" width="3.33203125" style="86" customWidth="1"/>
    <col min="10420" max="10420" width="38" style="86" customWidth="1"/>
    <col min="10421" max="10421" width="5.5546875" style="86" customWidth="1"/>
    <col min="10422" max="10422" width="5.33203125" style="86" customWidth="1"/>
    <col min="10423" max="10423" width="7.88671875" style="86" customWidth="1"/>
    <col min="10424" max="10424" width="5.6640625" style="86" customWidth="1"/>
    <col min="10425" max="10425" width="12.33203125" style="86" customWidth="1"/>
    <col min="10426" max="10426" width="10.44140625" style="86" customWidth="1"/>
    <col min="10427" max="10427" width="11.44140625" style="86" customWidth="1"/>
    <col min="10428" max="10428" width="24.88671875" style="86" customWidth="1"/>
    <col min="10429" max="10432" width="3.33203125" style="86" customWidth="1"/>
    <col min="10433" max="10433" width="4" style="86" customWidth="1"/>
    <col min="10434" max="10438" width="3.33203125" style="86" customWidth="1"/>
    <col min="10439" max="10439" width="4.5546875" style="86" customWidth="1"/>
    <col min="10440" max="10440" width="3.33203125" style="86" customWidth="1"/>
    <col min="10441" max="10443" width="4.5546875" style="86" customWidth="1"/>
    <col min="10444" max="10444" width="3.33203125" style="86" customWidth="1"/>
    <col min="10445" max="10450" width="4.5546875" style="86" customWidth="1"/>
    <col min="10451" max="10451" width="6.44140625" style="86" customWidth="1"/>
    <col min="10452" max="10462" width="4.5546875" style="86" customWidth="1"/>
    <col min="10463" max="10464" width="5.6640625" style="86" customWidth="1"/>
    <col min="10465" max="10465" width="9" style="86" customWidth="1"/>
    <col min="10466" max="10466" width="10" style="86" customWidth="1"/>
    <col min="10467" max="10467" width="8.5546875" style="86" customWidth="1"/>
    <col min="10468" max="10468" width="13" style="86" customWidth="1"/>
    <col min="10469" max="10469" width="13.109375" style="86" customWidth="1"/>
    <col min="10470" max="10470" width="10.44140625" style="86" customWidth="1"/>
    <col min="10471" max="10471" width="9.33203125" style="86" customWidth="1"/>
    <col min="10472" max="10472" width="9.44140625" style="86" customWidth="1"/>
    <col min="10473" max="10473" width="8.109375" style="86" customWidth="1"/>
    <col min="10474" max="10474" width="11.6640625" style="86" customWidth="1"/>
    <col min="10475" max="10475" width="11.33203125" style="86" customWidth="1"/>
    <col min="10476" max="10476" width="10.6640625" style="86" customWidth="1"/>
    <col min="10477" max="10477" width="20.5546875" style="86" bestFit="1" customWidth="1"/>
    <col min="10478" max="10478" width="11.44140625" style="86" customWidth="1"/>
    <col min="10479" max="10479" width="9.109375" style="86"/>
    <col min="10480" max="10480" width="10" style="86" customWidth="1"/>
    <col min="10481" max="10481" width="12.5546875" style="86" customWidth="1"/>
    <col min="10482" max="10482" width="10.44140625" style="86" customWidth="1"/>
    <col min="10483" max="10653" width="9.109375" style="86"/>
    <col min="10654" max="10654" width="16.109375" style="86" customWidth="1"/>
    <col min="10655" max="10655" width="12.88671875" style="86" customWidth="1"/>
    <col min="10656" max="10656" width="16.109375" style="86" customWidth="1"/>
    <col min="10657" max="10657" width="48.5546875" style="86" customWidth="1"/>
    <col min="10658" max="10658" width="12.44140625" style="86" customWidth="1"/>
    <col min="10659" max="10659" width="9.6640625" style="86" customWidth="1"/>
    <col min="10660" max="10660" width="11" style="86" customWidth="1"/>
    <col min="10661" max="10661" width="6.5546875" style="86" customWidth="1"/>
    <col min="10662" max="10662" width="7.44140625" style="86" customWidth="1"/>
    <col min="10663" max="10663" width="6.6640625" style="86" customWidth="1"/>
    <col min="10664" max="10664" width="12.5546875" style="86" customWidth="1"/>
    <col min="10665" max="10665" width="8.5546875" style="86" customWidth="1"/>
    <col min="10666" max="10666" width="9.109375" style="86" customWidth="1"/>
    <col min="10667" max="10667" width="13.88671875" style="86" customWidth="1"/>
    <col min="10668" max="10668" width="14" style="86" customWidth="1"/>
    <col min="10669" max="10669" width="4.5546875" style="86" customWidth="1"/>
    <col min="10670" max="10670" width="5.109375" style="86" customWidth="1"/>
    <col min="10671" max="10671" width="5" style="86" customWidth="1"/>
    <col min="10672" max="10672" width="6" style="86" customWidth="1"/>
    <col min="10673" max="10673" width="5.6640625" style="86" customWidth="1"/>
    <col min="10674" max="10674" width="4.88671875" style="86" customWidth="1"/>
    <col min="10675" max="10675" width="3.33203125" style="86" customWidth="1"/>
    <col min="10676" max="10676" width="38" style="86" customWidth="1"/>
    <col min="10677" max="10677" width="5.5546875" style="86" customWidth="1"/>
    <col min="10678" max="10678" width="5.33203125" style="86" customWidth="1"/>
    <col min="10679" max="10679" width="7.88671875" style="86" customWidth="1"/>
    <col min="10680" max="10680" width="5.6640625" style="86" customWidth="1"/>
    <col min="10681" max="10681" width="12.33203125" style="86" customWidth="1"/>
    <col min="10682" max="10682" width="10.44140625" style="86" customWidth="1"/>
    <col min="10683" max="10683" width="11.44140625" style="86" customWidth="1"/>
    <col min="10684" max="10684" width="24.88671875" style="86" customWidth="1"/>
    <col min="10685" max="10688" width="3.33203125" style="86" customWidth="1"/>
    <col min="10689" max="10689" width="4" style="86" customWidth="1"/>
    <col min="10690" max="10694" width="3.33203125" style="86" customWidth="1"/>
    <col min="10695" max="10695" width="4.5546875" style="86" customWidth="1"/>
    <col min="10696" max="10696" width="3.33203125" style="86" customWidth="1"/>
    <col min="10697" max="10699" width="4.5546875" style="86" customWidth="1"/>
    <col min="10700" max="10700" width="3.33203125" style="86" customWidth="1"/>
    <col min="10701" max="10706" width="4.5546875" style="86" customWidth="1"/>
    <col min="10707" max="10707" width="6.44140625" style="86" customWidth="1"/>
    <col min="10708" max="10718" width="4.5546875" style="86" customWidth="1"/>
    <col min="10719" max="10720" width="5.6640625" style="86" customWidth="1"/>
    <col min="10721" max="10721" width="9" style="86" customWidth="1"/>
    <col min="10722" max="10722" width="10" style="86" customWidth="1"/>
    <col min="10723" max="10723" width="8.5546875" style="86" customWidth="1"/>
    <col min="10724" max="10724" width="13" style="86" customWidth="1"/>
    <col min="10725" max="10725" width="13.109375" style="86" customWidth="1"/>
    <col min="10726" max="10726" width="10.44140625" style="86" customWidth="1"/>
    <col min="10727" max="10727" width="9.33203125" style="86" customWidth="1"/>
    <col min="10728" max="10728" width="9.44140625" style="86" customWidth="1"/>
    <col min="10729" max="10729" width="8.109375" style="86" customWidth="1"/>
    <col min="10730" max="10730" width="11.6640625" style="86" customWidth="1"/>
    <col min="10731" max="10731" width="11.33203125" style="86" customWidth="1"/>
    <col min="10732" max="10732" width="10.6640625" style="86" customWidth="1"/>
    <col min="10733" max="10733" width="20.5546875" style="86" bestFit="1" customWidth="1"/>
    <col min="10734" max="10734" width="11.44140625" style="86" customWidth="1"/>
    <col min="10735" max="10735" width="9.109375" style="86"/>
    <col min="10736" max="10736" width="10" style="86" customWidth="1"/>
    <col min="10737" max="10737" width="12.5546875" style="86" customWidth="1"/>
    <col min="10738" max="10738" width="10.44140625" style="86" customWidth="1"/>
    <col min="10739" max="10909" width="9.109375" style="86"/>
    <col min="10910" max="10910" width="16.109375" style="86" customWidth="1"/>
    <col min="10911" max="10911" width="12.88671875" style="86" customWidth="1"/>
    <col min="10912" max="10912" width="16.109375" style="86" customWidth="1"/>
    <col min="10913" max="10913" width="48.5546875" style="86" customWidth="1"/>
    <col min="10914" max="10914" width="12.44140625" style="86" customWidth="1"/>
    <col min="10915" max="10915" width="9.6640625" style="86" customWidth="1"/>
    <col min="10916" max="10916" width="11" style="86" customWidth="1"/>
    <col min="10917" max="10917" width="6.5546875" style="86" customWidth="1"/>
    <col min="10918" max="10918" width="7.44140625" style="86" customWidth="1"/>
    <col min="10919" max="10919" width="6.6640625" style="86" customWidth="1"/>
    <col min="10920" max="10920" width="12.5546875" style="86" customWidth="1"/>
    <col min="10921" max="10921" width="8.5546875" style="86" customWidth="1"/>
    <col min="10922" max="10922" width="9.109375" style="86" customWidth="1"/>
    <col min="10923" max="10923" width="13.88671875" style="86" customWidth="1"/>
    <col min="10924" max="10924" width="14" style="86" customWidth="1"/>
    <col min="10925" max="10925" width="4.5546875" style="86" customWidth="1"/>
    <col min="10926" max="10926" width="5.109375" style="86" customWidth="1"/>
    <col min="10927" max="10927" width="5" style="86" customWidth="1"/>
    <col min="10928" max="10928" width="6" style="86" customWidth="1"/>
    <col min="10929" max="10929" width="5.6640625" style="86" customWidth="1"/>
    <col min="10930" max="10930" width="4.88671875" style="86" customWidth="1"/>
    <col min="10931" max="10931" width="3.33203125" style="86" customWidth="1"/>
    <col min="10932" max="10932" width="38" style="86" customWidth="1"/>
    <col min="10933" max="10933" width="5.5546875" style="86" customWidth="1"/>
    <col min="10934" max="10934" width="5.33203125" style="86" customWidth="1"/>
    <col min="10935" max="10935" width="7.88671875" style="86" customWidth="1"/>
    <col min="10936" max="10936" width="5.6640625" style="86" customWidth="1"/>
    <col min="10937" max="10937" width="12.33203125" style="86" customWidth="1"/>
    <col min="10938" max="10938" width="10.44140625" style="86" customWidth="1"/>
    <col min="10939" max="10939" width="11.44140625" style="86" customWidth="1"/>
    <col min="10940" max="10940" width="24.88671875" style="86" customWidth="1"/>
    <col min="10941" max="10944" width="3.33203125" style="86" customWidth="1"/>
    <col min="10945" max="10945" width="4" style="86" customWidth="1"/>
    <col min="10946" max="10950" width="3.33203125" style="86" customWidth="1"/>
    <col min="10951" max="10951" width="4.5546875" style="86" customWidth="1"/>
    <col min="10952" max="10952" width="3.33203125" style="86" customWidth="1"/>
    <col min="10953" max="10955" width="4.5546875" style="86" customWidth="1"/>
    <col min="10956" max="10956" width="3.33203125" style="86" customWidth="1"/>
    <col min="10957" max="10962" width="4.5546875" style="86" customWidth="1"/>
    <col min="10963" max="10963" width="6.44140625" style="86" customWidth="1"/>
    <col min="10964" max="10974" width="4.5546875" style="86" customWidth="1"/>
    <col min="10975" max="10976" width="5.6640625" style="86" customWidth="1"/>
    <col min="10977" max="10977" width="9" style="86" customWidth="1"/>
    <col min="10978" max="10978" width="10" style="86" customWidth="1"/>
    <col min="10979" max="10979" width="8.5546875" style="86" customWidth="1"/>
    <col min="10980" max="10980" width="13" style="86" customWidth="1"/>
    <col min="10981" max="10981" width="13.109375" style="86" customWidth="1"/>
    <col min="10982" max="10982" width="10.44140625" style="86" customWidth="1"/>
    <col min="10983" max="10983" width="9.33203125" style="86" customWidth="1"/>
    <col min="10984" max="10984" width="9.44140625" style="86" customWidth="1"/>
    <col min="10985" max="10985" width="8.109375" style="86" customWidth="1"/>
    <col min="10986" max="10986" width="11.6640625" style="86" customWidth="1"/>
    <col min="10987" max="10987" width="11.33203125" style="86" customWidth="1"/>
    <col min="10988" max="10988" width="10.6640625" style="86" customWidth="1"/>
    <col min="10989" max="10989" width="20.5546875" style="86" bestFit="1" customWidth="1"/>
    <col min="10990" max="10990" width="11.44140625" style="86" customWidth="1"/>
    <col min="10991" max="10991" width="9.109375" style="86"/>
    <col min="10992" max="10992" width="10" style="86" customWidth="1"/>
    <col min="10993" max="10993" width="12.5546875" style="86" customWidth="1"/>
    <col min="10994" max="10994" width="10.44140625" style="86" customWidth="1"/>
    <col min="10995" max="11165" width="9.109375" style="86"/>
    <col min="11166" max="11166" width="16.109375" style="86" customWidth="1"/>
    <col min="11167" max="11167" width="12.88671875" style="86" customWidth="1"/>
    <col min="11168" max="11168" width="16.109375" style="86" customWidth="1"/>
    <col min="11169" max="11169" width="48.5546875" style="86" customWidth="1"/>
    <col min="11170" max="11170" width="12.44140625" style="86" customWidth="1"/>
    <col min="11171" max="11171" width="9.6640625" style="86" customWidth="1"/>
    <col min="11172" max="11172" width="11" style="86" customWidth="1"/>
    <col min="11173" max="11173" width="6.5546875" style="86" customWidth="1"/>
    <col min="11174" max="11174" width="7.44140625" style="86" customWidth="1"/>
    <col min="11175" max="11175" width="6.6640625" style="86" customWidth="1"/>
    <col min="11176" max="11176" width="12.5546875" style="86" customWidth="1"/>
    <col min="11177" max="11177" width="8.5546875" style="86" customWidth="1"/>
    <col min="11178" max="11178" width="9.109375" style="86" customWidth="1"/>
    <col min="11179" max="11179" width="13.88671875" style="86" customWidth="1"/>
    <col min="11180" max="11180" width="14" style="86" customWidth="1"/>
    <col min="11181" max="11181" width="4.5546875" style="86" customWidth="1"/>
    <col min="11182" max="11182" width="5.109375" style="86" customWidth="1"/>
    <col min="11183" max="11183" width="5" style="86" customWidth="1"/>
    <col min="11184" max="11184" width="6" style="86" customWidth="1"/>
    <col min="11185" max="11185" width="5.6640625" style="86" customWidth="1"/>
    <col min="11186" max="11186" width="4.88671875" style="86" customWidth="1"/>
    <col min="11187" max="11187" width="3.33203125" style="86" customWidth="1"/>
    <col min="11188" max="11188" width="38" style="86" customWidth="1"/>
    <col min="11189" max="11189" width="5.5546875" style="86" customWidth="1"/>
    <col min="11190" max="11190" width="5.33203125" style="86" customWidth="1"/>
    <col min="11191" max="11191" width="7.88671875" style="86" customWidth="1"/>
    <col min="11192" max="11192" width="5.6640625" style="86" customWidth="1"/>
    <col min="11193" max="11193" width="12.33203125" style="86" customWidth="1"/>
    <col min="11194" max="11194" width="10.44140625" style="86" customWidth="1"/>
    <col min="11195" max="11195" width="11.44140625" style="86" customWidth="1"/>
    <col min="11196" max="11196" width="24.88671875" style="86" customWidth="1"/>
    <col min="11197" max="11200" width="3.33203125" style="86" customWidth="1"/>
    <col min="11201" max="11201" width="4" style="86" customWidth="1"/>
    <col min="11202" max="11206" width="3.33203125" style="86" customWidth="1"/>
    <col min="11207" max="11207" width="4.5546875" style="86" customWidth="1"/>
    <col min="11208" max="11208" width="3.33203125" style="86" customWidth="1"/>
    <col min="11209" max="11211" width="4.5546875" style="86" customWidth="1"/>
    <col min="11212" max="11212" width="3.33203125" style="86" customWidth="1"/>
    <col min="11213" max="11218" width="4.5546875" style="86" customWidth="1"/>
    <col min="11219" max="11219" width="6.44140625" style="86" customWidth="1"/>
    <col min="11220" max="11230" width="4.5546875" style="86" customWidth="1"/>
    <col min="11231" max="11232" width="5.6640625" style="86" customWidth="1"/>
    <col min="11233" max="11233" width="9" style="86" customWidth="1"/>
    <col min="11234" max="11234" width="10" style="86" customWidth="1"/>
    <col min="11235" max="11235" width="8.5546875" style="86" customWidth="1"/>
    <col min="11236" max="11236" width="13" style="86" customWidth="1"/>
    <col min="11237" max="11237" width="13.109375" style="86" customWidth="1"/>
    <col min="11238" max="11238" width="10.44140625" style="86" customWidth="1"/>
    <col min="11239" max="11239" width="9.33203125" style="86" customWidth="1"/>
    <col min="11240" max="11240" width="9.44140625" style="86" customWidth="1"/>
    <col min="11241" max="11241" width="8.109375" style="86" customWidth="1"/>
    <col min="11242" max="11242" width="11.6640625" style="86" customWidth="1"/>
    <col min="11243" max="11243" width="11.33203125" style="86" customWidth="1"/>
    <col min="11244" max="11244" width="10.6640625" style="86" customWidth="1"/>
    <col min="11245" max="11245" width="20.5546875" style="86" bestFit="1" customWidth="1"/>
    <col min="11246" max="11246" width="11.44140625" style="86" customWidth="1"/>
    <col min="11247" max="11247" width="9.109375" style="86"/>
    <col min="11248" max="11248" width="10" style="86" customWidth="1"/>
    <col min="11249" max="11249" width="12.5546875" style="86" customWidth="1"/>
    <col min="11250" max="11250" width="10.44140625" style="86" customWidth="1"/>
    <col min="11251" max="11421" width="9.109375" style="86"/>
    <col min="11422" max="11422" width="16.109375" style="86" customWidth="1"/>
    <col min="11423" max="11423" width="12.88671875" style="86" customWidth="1"/>
    <col min="11424" max="11424" width="16.109375" style="86" customWidth="1"/>
    <col min="11425" max="11425" width="48.5546875" style="86" customWidth="1"/>
    <col min="11426" max="11426" width="12.44140625" style="86" customWidth="1"/>
    <col min="11427" max="11427" width="9.6640625" style="86" customWidth="1"/>
    <col min="11428" max="11428" width="11" style="86" customWidth="1"/>
    <col min="11429" max="11429" width="6.5546875" style="86" customWidth="1"/>
    <col min="11430" max="11430" width="7.44140625" style="86" customWidth="1"/>
    <col min="11431" max="11431" width="6.6640625" style="86" customWidth="1"/>
    <col min="11432" max="11432" width="12.5546875" style="86" customWidth="1"/>
    <col min="11433" max="11433" width="8.5546875" style="86" customWidth="1"/>
    <col min="11434" max="11434" width="9.109375" style="86" customWidth="1"/>
    <col min="11435" max="11435" width="13.88671875" style="86" customWidth="1"/>
    <col min="11436" max="11436" width="14" style="86" customWidth="1"/>
    <col min="11437" max="11437" width="4.5546875" style="86" customWidth="1"/>
    <col min="11438" max="11438" width="5.109375" style="86" customWidth="1"/>
    <col min="11439" max="11439" width="5" style="86" customWidth="1"/>
    <col min="11440" max="11440" width="6" style="86" customWidth="1"/>
    <col min="11441" max="11441" width="5.6640625" style="86" customWidth="1"/>
    <col min="11442" max="11442" width="4.88671875" style="86" customWidth="1"/>
    <col min="11443" max="11443" width="3.33203125" style="86" customWidth="1"/>
    <col min="11444" max="11444" width="38" style="86" customWidth="1"/>
    <col min="11445" max="11445" width="5.5546875" style="86" customWidth="1"/>
    <col min="11446" max="11446" width="5.33203125" style="86" customWidth="1"/>
    <col min="11447" max="11447" width="7.88671875" style="86" customWidth="1"/>
    <col min="11448" max="11448" width="5.6640625" style="86" customWidth="1"/>
    <col min="11449" max="11449" width="12.33203125" style="86" customWidth="1"/>
    <col min="11450" max="11450" width="10.44140625" style="86" customWidth="1"/>
    <col min="11451" max="11451" width="11.44140625" style="86" customWidth="1"/>
    <col min="11452" max="11452" width="24.88671875" style="86" customWidth="1"/>
    <col min="11453" max="11456" width="3.33203125" style="86" customWidth="1"/>
    <col min="11457" max="11457" width="4" style="86" customWidth="1"/>
    <col min="11458" max="11462" width="3.33203125" style="86" customWidth="1"/>
    <col min="11463" max="11463" width="4.5546875" style="86" customWidth="1"/>
    <col min="11464" max="11464" width="3.33203125" style="86" customWidth="1"/>
    <col min="11465" max="11467" width="4.5546875" style="86" customWidth="1"/>
    <col min="11468" max="11468" width="3.33203125" style="86" customWidth="1"/>
    <col min="11469" max="11474" width="4.5546875" style="86" customWidth="1"/>
    <col min="11475" max="11475" width="6.44140625" style="86" customWidth="1"/>
    <col min="11476" max="11486" width="4.5546875" style="86" customWidth="1"/>
    <col min="11487" max="11488" width="5.6640625" style="86" customWidth="1"/>
    <col min="11489" max="11489" width="9" style="86" customWidth="1"/>
    <col min="11490" max="11490" width="10" style="86" customWidth="1"/>
    <col min="11491" max="11491" width="8.5546875" style="86" customWidth="1"/>
    <col min="11492" max="11492" width="13" style="86" customWidth="1"/>
    <col min="11493" max="11493" width="13.109375" style="86" customWidth="1"/>
    <col min="11494" max="11494" width="10.44140625" style="86" customWidth="1"/>
    <col min="11495" max="11495" width="9.33203125" style="86" customWidth="1"/>
    <col min="11496" max="11496" width="9.44140625" style="86" customWidth="1"/>
    <col min="11497" max="11497" width="8.109375" style="86" customWidth="1"/>
    <col min="11498" max="11498" width="11.6640625" style="86" customWidth="1"/>
    <col min="11499" max="11499" width="11.33203125" style="86" customWidth="1"/>
    <col min="11500" max="11500" width="10.6640625" style="86" customWidth="1"/>
    <col min="11501" max="11501" width="20.5546875" style="86" bestFit="1" customWidth="1"/>
    <col min="11502" max="11502" width="11.44140625" style="86" customWidth="1"/>
    <col min="11503" max="11503" width="9.109375" style="86"/>
    <col min="11504" max="11504" width="10" style="86" customWidth="1"/>
    <col min="11505" max="11505" width="12.5546875" style="86" customWidth="1"/>
    <col min="11506" max="11506" width="10.44140625" style="86" customWidth="1"/>
    <col min="11507" max="11677" width="9.109375" style="86"/>
    <col min="11678" max="11678" width="16.109375" style="86" customWidth="1"/>
    <col min="11679" max="11679" width="12.88671875" style="86" customWidth="1"/>
    <col min="11680" max="11680" width="16.109375" style="86" customWidth="1"/>
    <col min="11681" max="11681" width="48.5546875" style="86" customWidth="1"/>
    <col min="11682" max="11682" width="12.44140625" style="86" customWidth="1"/>
    <col min="11683" max="11683" width="9.6640625" style="86" customWidth="1"/>
    <col min="11684" max="11684" width="11" style="86" customWidth="1"/>
    <col min="11685" max="11685" width="6.5546875" style="86" customWidth="1"/>
    <col min="11686" max="11686" width="7.44140625" style="86" customWidth="1"/>
    <col min="11687" max="11687" width="6.6640625" style="86" customWidth="1"/>
    <col min="11688" max="11688" width="12.5546875" style="86" customWidth="1"/>
    <col min="11689" max="11689" width="8.5546875" style="86" customWidth="1"/>
    <col min="11690" max="11690" width="9.109375" style="86" customWidth="1"/>
    <col min="11691" max="11691" width="13.88671875" style="86" customWidth="1"/>
    <col min="11692" max="11692" width="14" style="86" customWidth="1"/>
    <col min="11693" max="11693" width="4.5546875" style="86" customWidth="1"/>
    <col min="11694" max="11694" width="5.109375" style="86" customWidth="1"/>
    <col min="11695" max="11695" width="5" style="86" customWidth="1"/>
    <col min="11696" max="11696" width="6" style="86" customWidth="1"/>
    <col min="11697" max="11697" width="5.6640625" style="86" customWidth="1"/>
    <col min="11698" max="11698" width="4.88671875" style="86" customWidth="1"/>
    <col min="11699" max="11699" width="3.33203125" style="86" customWidth="1"/>
    <col min="11700" max="11700" width="38" style="86" customWidth="1"/>
    <col min="11701" max="11701" width="5.5546875" style="86" customWidth="1"/>
    <col min="11702" max="11702" width="5.33203125" style="86" customWidth="1"/>
    <col min="11703" max="11703" width="7.88671875" style="86" customWidth="1"/>
    <col min="11704" max="11704" width="5.6640625" style="86" customWidth="1"/>
    <col min="11705" max="11705" width="12.33203125" style="86" customWidth="1"/>
    <col min="11706" max="11706" width="10.44140625" style="86" customWidth="1"/>
    <col min="11707" max="11707" width="11.44140625" style="86" customWidth="1"/>
    <col min="11708" max="11708" width="24.88671875" style="86" customWidth="1"/>
    <col min="11709" max="11712" width="3.33203125" style="86" customWidth="1"/>
    <col min="11713" max="11713" width="4" style="86" customWidth="1"/>
    <col min="11714" max="11718" width="3.33203125" style="86" customWidth="1"/>
    <col min="11719" max="11719" width="4.5546875" style="86" customWidth="1"/>
    <col min="11720" max="11720" width="3.33203125" style="86" customWidth="1"/>
    <col min="11721" max="11723" width="4.5546875" style="86" customWidth="1"/>
    <col min="11724" max="11724" width="3.33203125" style="86" customWidth="1"/>
    <col min="11725" max="11730" width="4.5546875" style="86" customWidth="1"/>
    <col min="11731" max="11731" width="6.44140625" style="86" customWidth="1"/>
    <col min="11732" max="11742" width="4.5546875" style="86" customWidth="1"/>
    <col min="11743" max="11744" width="5.6640625" style="86" customWidth="1"/>
    <col min="11745" max="11745" width="9" style="86" customWidth="1"/>
    <col min="11746" max="11746" width="10" style="86" customWidth="1"/>
    <col min="11747" max="11747" width="8.5546875" style="86" customWidth="1"/>
    <col min="11748" max="11748" width="13" style="86" customWidth="1"/>
    <col min="11749" max="11749" width="13.109375" style="86" customWidth="1"/>
    <col min="11750" max="11750" width="10.44140625" style="86" customWidth="1"/>
    <col min="11751" max="11751" width="9.33203125" style="86" customWidth="1"/>
    <col min="11752" max="11752" width="9.44140625" style="86" customWidth="1"/>
    <col min="11753" max="11753" width="8.109375" style="86" customWidth="1"/>
    <col min="11754" max="11754" width="11.6640625" style="86" customWidth="1"/>
    <col min="11755" max="11755" width="11.33203125" style="86" customWidth="1"/>
    <col min="11756" max="11756" width="10.6640625" style="86" customWidth="1"/>
    <col min="11757" max="11757" width="20.5546875" style="86" bestFit="1" customWidth="1"/>
    <col min="11758" max="11758" width="11.44140625" style="86" customWidth="1"/>
    <col min="11759" max="11759" width="9.109375" style="86"/>
    <col min="11760" max="11760" width="10" style="86" customWidth="1"/>
    <col min="11761" max="11761" width="12.5546875" style="86" customWidth="1"/>
    <col min="11762" max="11762" width="10.44140625" style="86" customWidth="1"/>
    <col min="11763" max="11933" width="9.109375" style="86"/>
    <col min="11934" max="11934" width="16.109375" style="86" customWidth="1"/>
    <col min="11935" max="11935" width="12.88671875" style="86" customWidth="1"/>
    <col min="11936" max="11936" width="16.109375" style="86" customWidth="1"/>
    <col min="11937" max="11937" width="48.5546875" style="86" customWidth="1"/>
    <col min="11938" max="11938" width="12.44140625" style="86" customWidth="1"/>
    <col min="11939" max="11939" width="9.6640625" style="86" customWidth="1"/>
    <col min="11940" max="11940" width="11" style="86" customWidth="1"/>
    <col min="11941" max="11941" width="6.5546875" style="86" customWidth="1"/>
    <col min="11942" max="11942" width="7.44140625" style="86" customWidth="1"/>
    <col min="11943" max="11943" width="6.6640625" style="86" customWidth="1"/>
    <col min="11944" max="11944" width="12.5546875" style="86" customWidth="1"/>
    <col min="11945" max="11945" width="8.5546875" style="86" customWidth="1"/>
    <col min="11946" max="11946" width="9.109375" style="86" customWidth="1"/>
    <col min="11947" max="11947" width="13.88671875" style="86" customWidth="1"/>
    <col min="11948" max="11948" width="14" style="86" customWidth="1"/>
    <col min="11949" max="11949" width="4.5546875" style="86" customWidth="1"/>
    <col min="11950" max="11950" width="5.109375" style="86" customWidth="1"/>
    <col min="11951" max="11951" width="5" style="86" customWidth="1"/>
    <col min="11952" max="11952" width="6" style="86" customWidth="1"/>
    <col min="11953" max="11953" width="5.6640625" style="86" customWidth="1"/>
    <col min="11954" max="11954" width="4.88671875" style="86" customWidth="1"/>
    <col min="11955" max="11955" width="3.33203125" style="86" customWidth="1"/>
    <col min="11956" max="11956" width="38" style="86" customWidth="1"/>
    <col min="11957" max="11957" width="5.5546875" style="86" customWidth="1"/>
    <col min="11958" max="11958" width="5.33203125" style="86" customWidth="1"/>
    <col min="11959" max="11959" width="7.88671875" style="86" customWidth="1"/>
    <col min="11960" max="11960" width="5.6640625" style="86" customWidth="1"/>
    <col min="11961" max="11961" width="12.33203125" style="86" customWidth="1"/>
    <col min="11962" max="11962" width="10.44140625" style="86" customWidth="1"/>
    <col min="11963" max="11963" width="11.44140625" style="86" customWidth="1"/>
    <col min="11964" max="11964" width="24.88671875" style="86" customWidth="1"/>
    <col min="11965" max="11968" width="3.33203125" style="86" customWidth="1"/>
    <col min="11969" max="11969" width="4" style="86" customWidth="1"/>
    <col min="11970" max="11974" width="3.33203125" style="86" customWidth="1"/>
    <col min="11975" max="11975" width="4.5546875" style="86" customWidth="1"/>
    <col min="11976" max="11976" width="3.33203125" style="86" customWidth="1"/>
    <col min="11977" max="11979" width="4.5546875" style="86" customWidth="1"/>
    <col min="11980" max="11980" width="3.33203125" style="86" customWidth="1"/>
    <col min="11981" max="11986" width="4.5546875" style="86" customWidth="1"/>
    <col min="11987" max="11987" width="6.44140625" style="86" customWidth="1"/>
    <col min="11988" max="11998" width="4.5546875" style="86" customWidth="1"/>
    <col min="11999" max="12000" width="5.6640625" style="86" customWidth="1"/>
    <col min="12001" max="12001" width="9" style="86" customWidth="1"/>
    <col min="12002" max="12002" width="10" style="86" customWidth="1"/>
    <col min="12003" max="12003" width="8.5546875" style="86" customWidth="1"/>
    <col min="12004" max="12004" width="13" style="86" customWidth="1"/>
    <col min="12005" max="12005" width="13.109375" style="86" customWidth="1"/>
    <col min="12006" max="12006" width="10.44140625" style="86" customWidth="1"/>
    <col min="12007" max="12007" width="9.33203125" style="86" customWidth="1"/>
    <col min="12008" max="12008" width="9.44140625" style="86" customWidth="1"/>
    <col min="12009" max="12009" width="8.109375" style="86" customWidth="1"/>
    <col min="12010" max="12010" width="11.6640625" style="86" customWidth="1"/>
    <col min="12011" max="12011" width="11.33203125" style="86" customWidth="1"/>
    <col min="12012" max="12012" width="10.6640625" style="86" customWidth="1"/>
    <col min="12013" max="12013" width="20.5546875" style="86" bestFit="1" customWidth="1"/>
    <col min="12014" max="12014" width="11.44140625" style="86" customWidth="1"/>
    <col min="12015" max="12015" width="9.109375" style="86"/>
    <col min="12016" max="12016" width="10" style="86" customWidth="1"/>
    <col min="12017" max="12017" width="12.5546875" style="86" customWidth="1"/>
    <col min="12018" max="12018" width="10.44140625" style="86" customWidth="1"/>
    <col min="12019" max="12189" width="9.109375" style="86"/>
    <col min="12190" max="12190" width="16.109375" style="86" customWidth="1"/>
    <col min="12191" max="12191" width="12.88671875" style="86" customWidth="1"/>
    <col min="12192" max="12192" width="16.109375" style="86" customWidth="1"/>
    <col min="12193" max="12193" width="48.5546875" style="86" customWidth="1"/>
    <col min="12194" max="12194" width="12.44140625" style="86" customWidth="1"/>
    <col min="12195" max="12195" width="9.6640625" style="86" customWidth="1"/>
    <col min="12196" max="12196" width="11" style="86" customWidth="1"/>
    <col min="12197" max="12197" width="6.5546875" style="86" customWidth="1"/>
    <col min="12198" max="12198" width="7.44140625" style="86" customWidth="1"/>
    <col min="12199" max="12199" width="6.6640625" style="86" customWidth="1"/>
    <col min="12200" max="12200" width="12.5546875" style="86" customWidth="1"/>
    <col min="12201" max="12201" width="8.5546875" style="86" customWidth="1"/>
    <col min="12202" max="12202" width="9.109375" style="86" customWidth="1"/>
    <col min="12203" max="12203" width="13.88671875" style="86" customWidth="1"/>
    <col min="12204" max="12204" width="14" style="86" customWidth="1"/>
    <col min="12205" max="12205" width="4.5546875" style="86" customWidth="1"/>
    <col min="12206" max="12206" width="5.109375" style="86" customWidth="1"/>
    <col min="12207" max="12207" width="5" style="86" customWidth="1"/>
    <col min="12208" max="12208" width="6" style="86" customWidth="1"/>
    <col min="12209" max="12209" width="5.6640625" style="86" customWidth="1"/>
    <col min="12210" max="12210" width="4.88671875" style="86" customWidth="1"/>
    <col min="12211" max="12211" width="3.33203125" style="86" customWidth="1"/>
    <col min="12212" max="12212" width="38" style="86" customWidth="1"/>
    <col min="12213" max="12213" width="5.5546875" style="86" customWidth="1"/>
    <col min="12214" max="12214" width="5.33203125" style="86" customWidth="1"/>
    <col min="12215" max="12215" width="7.88671875" style="86" customWidth="1"/>
    <col min="12216" max="12216" width="5.6640625" style="86" customWidth="1"/>
    <col min="12217" max="12217" width="12.33203125" style="86" customWidth="1"/>
    <col min="12218" max="12218" width="10.44140625" style="86" customWidth="1"/>
    <col min="12219" max="12219" width="11.44140625" style="86" customWidth="1"/>
    <col min="12220" max="12220" width="24.88671875" style="86" customWidth="1"/>
    <col min="12221" max="12224" width="3.33203125" style="86" customWidth="1"/>
    <col min="12225" max="12225" width="4" style="86" customWidth="1"/>
    <col min="12226" max="12230" width="3.33203125" style="86" customWidth="1"/>
    <col min="12231" max="12231" width="4.5546875" style="86" customWidth="1"/>
    <col min="12232" max="12232" width="3.33203125" style="86" customWidth="1"/>
    <col min="12233" max="12235" width="4.5546875" style="86" customWidth="1"/>
    <col min="12236" max="12236" width="3.33203125" style="86" customWidth="1"/>
    <col min="12237" max="12242" width="4.5546875" style="86" customWidth="1"/>
    <col min="12243" max="12243" width="6.44140625" style="86" customWidth="1"/>
    <col min="12244" max="12254" width="4.5546875" style="86" customWidth="1"/>
    <col min="12255" max="12256" width="5.6640625" style="86" customWidth="1"/>
    <col min="12257" max="12257" width="9" style="86" customWidth="1"/>
    <col min="12258" max="12258" width="10" style="86" customWidth="1"/>
    <col min="12259" max="12259" width="8.5546875" style="86" customWidth="1"/>
    <col min="12260" max="12260" width="13" style="86" customWidth="1"/>
    <col min="12261" max="12261" width="13.109375" style="86" customWidth="1"/>
    <col min="12262" max="12262" width="10.44140625" style="86" customWidth="1"/>
    <col min="12263" max="12263" width="9.33203125" style="86" customWidth="1"/>
    <col min="12264" max="12264" width="9.44140625" style="86" customWidth="1"/>
    <col min="12265" max="12265" width="8.109375" style="86" customWidth="1"/>
    <col min="12266" max="12266" width="11.6640625" style="86" customWidth="1"/>
    <col min="12267" max="12267" width="11.33203125" style="86" customWidth="1"/>
    <col min="12268" max="12268" width="10.6640625" style="86" customWidth="1"/>
    <col min="12269" max="12269" width="20.5546875" style="86" bestFit="1" customWidth="1"/>
    <col min="12270" max="12270" width="11.44140625" style="86" customWidth="1"/>
    <col min="12271" max="12271" width="9.109375" style="86"/>
    <col min="12272" max="12272" width="10" style="86" customWidth="1"/>
    <col min="12273" max="12273" width="12.5546875" style="86" customWidth="1"/>
    <col min="12274" max="12274" width="10.44140625" style="86" customWidth="1"/>
    <col min="12275" max="12445" width="9.109375" style="86"/>
    <col min="12446" max="12446" width="16.109375" style="86" customWidth="1"/>
    <col min="12447" max="12447" width="12.88671875" style="86" customWidth="1"/>
    <col min="12448" max="12448" width="16.109375" style="86" customWidth="1"/>
    <col min="12449" max="12449" width="48.5546875" style="86" customWidth="1"/>
    <col min="12450" max="12450" width="12.44140625" style="86" customWidth="1"/>
    <col min="12451" max="12451" width="9.6640625" style="86" customWidth="1"/>
    <col min="12452" max="12452" width="11" style="86" customWidth="1"/>
    <col min="12453" max="12453" width="6.5546875" style="86" customWidth="1"/>
    <col min="12454" max="12454" width="7.44140625" style="86" customWidth="1"/>
    <col min="12455" max="12455" width="6.6640625" style="86" customWidth="1"/>
    <col min="12456" max="12456" width="12.5546875" style="86" customWidth="1"/>
    <col min="12457" max="12457" width="8.5546875" style="86" customWidth="1"/>
    <col min="12458" max="12458" width="9.109375" style="86" customWidth="1"/>
    <col min="12459" max="12459" width="13.88671875" style="86" customWidth="1"/>
    <col min="12460" max="12460" width="14" style="86" customWidth="1"/>
    <col min="12461" max="12461" width="4.5546875" style="86" customWidth="1"/>
    <col min="12462" max="12462" width="5.109375" style="86" customWidth="1"/>
    <col min="12463" max="12463" width="5" style="86" customWidth="1"/>
    <col min="12464" max="12464" width="6" style="86" customWidth="1"/>
    <col min="12465" max="12465" width="5.6640625" style="86" customWidth="1"/>
    <col min="12466" max="12466" width="4.88671875" style="86" customWidth="1"/>
    <col min="12467" max="12467" width="3.33203125" style="86" customWidth="1"/>
    <col min="12468" max="12468" width="38" style="86" customWidth="1"/>
    <col min="12469" max="12469" width="5.5546875" style="86" customWidth="1"/>
    <col min="12470" max="12470" width="5.33203125" style="86" customWidth="1"/>
    <col min="12471" max="12471" width="7.88671875" style="86" customWidth="1"/>
    <col min="12472" max="12472" width="5.6640625" style="86" customWidth="1"/>
    <col min="12473" max="12473" width="12.33203125" style="86" customWidth="1"/>
    <col min="12474" max="12474" width="10.44140625" style="86" customWidth="1"/>
    <col min="12475" max="12475" width="11.44140625" style="86" customWidth="1"/>
    <col min="12476" max="12476" width="24.88671875" style="86" customWidth="1"/>
    <col min="12477" max="12480" width="3.33203125" style="86" customWidth="1"/>
    <col min="12481" max="12481" width="4" style="86" customWidth="1"/>
    <col min="12482" max="12486" width="3.33203125" style="86" customWidth="1"/>
    <col min="12487" max="12487" width="4.5546875" style="86" customWidth="1"/>
    <col min="12488" max="12488" width="3.33203125" style="86" customWidth="1"/>
    <col min="12489" max="12491" width="4.5546875" style="86" customWidth="1"/>
    <col min="12492" max="12492" width="3.33203125" style="86" customWidth="1"/>
    <col min="12493" max="12498" width="4.5546875" style="86" customWidth="1"/>
    <col min="12499" max="12499" width="6.44140625" style="86" customWidth="1"/>
    <col min="12500" max="12510" width="4.5546875" style="86" customWidth="1"/>
    <col min="12511" max="12512" width="5.6640625" style="86" customWidth="1"/>
    <col min="12513" max="12513" width="9" style="86" customWidth="1"/>
    <col min="12514" max="12514" width="10" style="86" customWidth="1"/>
    <col min="12515" max="12515" width="8.5546875" style="86" customWidth="1"/>
    <col min="12516" max="12516" width="13" style="86" customWidth="1"/>
    <col min="12517" max="12517" width="13.109375" style="86" customWidth="1"/>
    <col min="12518" max="12518" width="10.44140625" style="86" customWidth="1"/>
    <col min="12519" max="12519" width="9.33203125" style="86" customWidth="1"/>
    <col min="12520" max="12520" width="9.44140625" style="86" customWidth="1"/>
    <col min="12521" max="12521" width="8.109375" style="86" customWidth="1"/>
    <col min="12522" max="12522" width="11.6640625" style="86" customWidth="1"/>
    <col min="12523" max="12523" width="11.33203125" style="86" customWidth="1"/>
    <col min="12524" max="12524" width="10.6640625" style="86" customWidth="1"/>
    <col min="12525" max="12525" width="20.5546875" style="86" bestFit="1" customWidth="1"/>
    <col min="12526" max="12526" width="11.44140625" style="86" customWidth="1"/>
    <col min="12527" max="12527" width="9.109375" style="86"/>
    <col min="12528" max="12528" width="10" style="86" customWidth="1"/>
    <col min="12529" max="12529" width="12.5546875" style="86" customWidth="1"/>
    <col min="12530" max="12530" width="10.44140625" style="86" customWidth="1"/>
    <col min="12531" max="12701" width="9.109375" style="86"/>
    <col min="12702" max="12702" width="16.109375" style="86" customWidth="1"/>
    <col min="12703" max="12703" width="12.88671875" style="86" customWidth="1"/>
    <col min="12704" max="12704" width="16.109375" style="86" customWidth="1"/>
    <col min="12705" max="12705" width="48.5546875" style="86" customWidth="1"/>
    <col min="12706" max="12706" width="12.44140625" style="86" customWidth="1"/>
    <col min="12707" max="12707" width="9.6640625" style="86" customWidth="1"/>
    <col min="12708" max="12708" width="11" style="86" customWidth="1"/>
    <col min="12709" max="12709" width="6.5546875" style="86" customWidth="1"/>
    <col min="12710" max="12710" width="7.44140625" style="86" customWidth="1"/>
    <col min="12711" max="12711" width="6.6640625" style="86" customWidth="1"/>
    <col min="12712" max="12712" width="12.5546875" style="86" customWidth="1"/>
    <col min="12713" max="12713" width="8.5546875" style="86" customWidth="1"/>
    <col min="12714" max="12714" width="9.109375" style="86" customWidth="1"/>
    <col min="12715" max="12715" width="13.88671875" style="86" customWidth="1"/>
    <col min="12716" max="12716" width="14" style="86" customWidth="1"/>
    <col min="12717" max="12717" width="4.5546875" style="86" customWidth="1"/>
    <col min="12718" max="12718" width="5.109375" style="86" customWidth="1"/>
    <col min="12719" max="12719" width="5" style="86" customWidth="1"/>
    <col min="12720" max="12720" width="6" style="86" customWidth="1"/>
    <col min="12721" max="12721" width="5.6640625" style="86" customWidth="1"/>
    <col min="12722" max="12722" width="4.88671875" style="86" customWidth="1"/>
    <col min="12723" max="12723" width="3.33203125" style="86" customWidth="1"/>
    <col min="12724" max="12724" width="38" style="86" customWidth="1"/>
    <col min="12725" max="12725" width="5.5546875" style="86" customWidth="1"/>
    <col min="12726" max="12726" width="5.33203125" style="86" customWidth="1"/>
    <col min="12727" max="12727" width="7.88671875" style="86" customWidth="1"/>
    <col min="12728" max="12728" width="5.6640625" style="86" customWidth="1"/>
    <col min="12729" max="12729" width="12.33203125" style="86" customWidth="1"/>
    <col min="12730" max="12730" width="10.44140625" style="86" customWidth="1"/>
    <col min="12731" max="12731" width="11.44140625" style="86" customWidth="1"/>
    <col min="12732" max="12732" width="24.88671875" style="86" customWidth="1"/>
    <col min="12733" max="12736" width="3.33203125" style="86" customWidth="1"/>
    <col min="12737" max="12737" width="4" style="86" customWidth="1"/>
    <col min="12738" max="12742" width="3.33203125" style="86" customWidth="1"/>
    <col min="12743" max="12743" width="4.5546875" style="86" customWidth="1"/>
    <col min="12744" max="12744" width="3.33203125" style="86" customWidth="1"/>
    <col min="12745" max="12747" width="4.5546875" style="86" customWidth="1"/>
    <col min="12748" max="12748" width="3.33203125" style="86" customWidth="1"/>
    <col min="12749" max="12754" width="4.5546875" style="86" customWidth="1"/>
    <col min="12755" max="12755" width="6.44140625" style="86" customWidth="1"/>
    <col min="12756" max="12766" width="4.5546875" style="86" customWidth="1"/>
    <col min="12767" max="12768" width="5.6640625" style="86" customWidth="1"/>
    <col min="12769" max="12769" width="9" style="86" customWidth="1"/>
    <col min="12770" max="12770" width="10" style="86" customWidth="1"/>
    <col min="12771" max="12771" width="8.5546875" style="86" customWidth="1"/>
    <col min="12772" max="12772" width="13" style="86" customWidth="1"/>
    <col min="12773" max="12773" width="13.109375" style="86" customWidth="1"/>
    <col min="12774" max="12774" width="10.44140625" style="86" customWidth="1"/>
    <col min="12775" max="12775" width="9.33203125" style="86" customWidth="1"/>
    <col min="12776" max="12776" width="9.44140625" style="86" customWidth="1"/>
    <col min="12777" max="12777" width="8.109375" style="86" customWidth="1"/>
    <col min="12778" max="12778" width="11.6640625" style="86" customWidth="1"/>
    <col min="12779" max="12779" width="11.33203125" style="86" customWidth="1"/>
    <col min="12780" max="12780" width="10.6640625" style="86" customWidth="1"/>
    <col min="12781" max="12781" width="20.5546875" style="86" bestFit="1" customWidth="1"/>
    <col min="12782" max="12782" width="11.44140625" style="86" customWidth="1"/>
    <col min="12783" max="12783" width="9.109375" style="86"/>
    <col min="12784" max="12784" width="10" style="86" customWidth="1"/>
    <col min="12785" max="12785" width="12.5546875" style="86" customWidth="1"/>
    <col min="12786" max="12786" width="10.44140625" style="86" customWidth="1"/>
    <col min="12787" max="12957" width="9.109375" style="86"/>
    <col min="12958" max="12958" width="16.109375" style="86" customWidth="1"/>
    <col min="12959" max="12959" width="12.88671875" style="86" customWidth="1"/>
    <col min="12960" max="12960" width="16.109375" style="86" customWidth="1"/>
    <col min="12961" max="12961" width="48.5546875" style="86" customWidth="1"/>
    <col min="12962" max="12962" width="12.44140625" style="86" customWidth="1"/>
    <col min="12963" max="12963" width="9.6640625" style="86" customWidth="1"/>
    <col min="12964" max="12964" width="11" style="86" customWidth="1"/>
    <col min="12965" max="12965" width="6.5546875" style="86" customWidth="1"/>
    <col min="12966" max="12966" width="7.44140625" style="86" customWidth="1"/>
    <col min="12967" max="12967" width="6.6640625" style="86" customWidth="1"/>
    <col min="12968" max="12968" width="12.5546875" style="86" customWidth="1"/>
    <col min="12969" max="12969" width="8.5546875" style="86" customWidth="1"/>
    <col min="12970" max="12970" width="9.109375" style="86" customWidth="1"/>
    <col min="12971" max="12971" width="13.88671875" style="86" customWidth="1"/>
    <col min="12972" max="12972" width="14" style="86" customWidth="1"/>
    <col min="12973" max="12973" width="4.5546875" style="86" customWidth="1"/>
    <col min="12974" max="12974" width="5.109375" style="86" customWidth="1"/>
    <col min="12975" max="12975" width="5" style="86" customWidth="1"/>
    <col min="12976" max="12976" width="6" style="86" customWidth="1"/>
    <col min="12977" max="12977" width="5.6640625" style="86" customWidth="1"/>
    <col min="12978" max="12978" width="4.88671875" style="86" customWidth="1"/>
    <col min="12979" max="12979" width="3.33203125" style="86" customWidth="1"/>
    <col min="12980" max="12980" width="38" style="86" customWidth="1"/>
    <col min="12981" max="12981" width="5.5546875" style="86" customWidth="1"/>
    <col min="12982" max="12982" width="5.33203125" style="86" customWidth="1"/>
    <col min="12983" max="12983" width="7.88671875" style="86" customWidth="1"/>
    <col min="12984" max="12984" width="5.6640625" style="86" customWidth="1"/>
    <col min="12985" max="12985" width="12.33203125" style="86" customWidth="1"/>
    <col min="12986" max="12986" width="10.44140625" style="86" customWidth="1"/>
    <col min="12987" max="12987" width="11.44140625" style="86" customWidth="1"/>
    <col min="12988" max="12988" width="24.88671875" style="86" customWidth="1"/>
    <col min="12989" max="12992" width="3.33203125" style="86" customWidth="1"/>
    <col min="12993" max="12993" width="4" style="86" customWidth="1"/>
    <col min="12994" max="12998" width="3.33203125" style="86" customWidth="1"/>
    <col min="12999" max="12999" width="4.5546875" style="86" customWidth="1"/>
    <col min="13000" max="13000" width="3.33203125" style="86" customWidth="1"/>
    <col min="13001" max="13003" width="4.5546875" style="86" customWidth="1"/>
    <col min="13004" max="13004" width="3.33203125" style="86" customWidth="1"/>
    <col min="13005" max="13010" width="4.5546875" style="86" customWidth="1"/>
    <col min="13011" max="13011" width="6.44140625" style="86" customWidth="1"/>
    <col min="13012" max="13022" width="4.5546875" style="86" customWidth="1"/>
    <col min="13023" max="13024" width="5.6640625" style="86" customWidth="1"/>
    <col min="13025" max="13025" width="9" style="86" customWidth="1"/>
    <col min="13026" max="13026" width="10" style="86" customWidth="1"/>
    <col min="13027" max="13027" width="8.5546875" style="86" customWidth="1"/>
    <col min="13028" max="13028" width="13" style="86" customWidth="1"/>
    <col min="13029" max="13029" width="13.109375" style="86" customWidth="1"/>
    <col min="13030" max="13030" width="10.44140625" style="86" customWidth="1"/>
    <col min="13031" max="13031" width="9.33203125" style="86" customWidth="1"/>
    <col min="13032" max="13032" width="9.44140625" style="86" customWidth="1"/>
    <col min="13033" max="13033" width="8.109375" style="86" customWidth="1"/>
    <col min="13034" max="13034" width="11.6640625" style="86" customWidth="1"/>
    <col min="13035" max="13035" width="11.33203125" style="86" customWidth="1"/>
    <col min="13036" max="13036" width="10.6640625" style="86" customWidth="1"/>
    <col min="13037" max="13037" width="20.5546875" style="86" bestFit="1" customWidth="1"/>
    <col min="13038" max="13038" width="11.44140625" style="86" customWidth="1"/>
    <col min="13039" max="13039" width="9.109375" style="86"/>
    <col min="13040" max="13040" width="10" style="86" customWidth="1"/>
    <col min="13041" max="13041" width="12.5546875" style="86" customWidth="1"/>
    <col min="13042" max="13042" width="10.44140625" style="86" customWidth="1"/>
    <col min="13043" max="13213" width="9.109375" style="86"/>
    <col min="13214" max="13214" width="16.109375" style="86" customWidth="1"/>
    <col min="13215" max="13215" width="12.88671875" style="86" customWidth="1"/>
    <col min="13216" max="13216" width="16.109375" style="86" customWidth="1"/>
    <col min="13217" max="13217" width="48.5546875" style="86" customWidth="1"/>
    <col min="13218" max="13218" width="12.44140625" style="86" customWidth="1"/>
    <col min="13219" max="13219" width="9.6640625" style="86" customWidth="1"/>
    <col min="13220" max="13220" width="11" style="86" customWidth="1"/>
    <col min="13221" max="13221" width="6.5546875" style="86" customWidth="1"/>
    <col min="13222" max="13222" width="7.44140625" style="86" customWidth="1"/>
    <col min="13223" max="13223" width="6.6640625" style="86" customWidth="1"/>
    <col min="13224" max="13224" width="12.5546875" style="86" customWidth="1"/>
    <col min="13225" max="13225" width="8.5546875" style="86" customWidth="1"/>
    <col min="13226" max="13226" width="9.109375" style="86" customWidth="1"/>
    <col min="13227" max="13227" width="13.88671875" style="86" customWidth="1"/>
    <col min="13228" max="13228" width="14" style="86" customWidth="1"/>
    <col min="13229" max="13229" width="4.5546875" style="86" customWidth="1"/>
    <col min="13230" max="13230" width="5.109375" style="86" customWidth="1"/>
    <col min="13231" max="13231" width="5" style="86" customWidth="1"/>
    <col min="13232" max="13232" width="6" style="86" customWidth="1"/>
    <col min="13233" max="13233" width="5.6640625" style="86" customWidth="1"/>
    <col min="13234" max="13234" width="4.88671875" style="86" customWidth="1"/>
    <col min="13235" max="13235" width="3.33203125" style="86" customWidth="1"/>
    <col min="13236" max="13236" width="38" style="86" customWidth="1"/>
    <col min="13237" max="13237" width="5.5546875" style="86" customWidth="1"/>
    <col min="13238" max="13238" width="5.33203125" style="86" customWidth="1"/>
    <col min="13239" max="13239" width="7.88671875" style="86" customWidth="1"/>
    <col min="13240" max="13240" width="5.6640625" style="86" customWidth="1"/>
    <col min="13241" max="13241" width="12.33203125" style="86" customWidth="1"/>
    <col min="13242" max="13242" width="10.44140625" style="86" customWidth="1"/>
    <col min="13243" max="13243" width="11.44140625" style="86" customWidth="1"/>
    <col min="13244" max="13244" width="24.88671875" style="86" customWidth="1"/>
    <col min="13245" max="13248" width="3.33203125" style="86" customWidth="1"/>
    <col min="13249" max="13249" width="4" style="86" customWidth="1"/>
    <col min="13250" max="13254" width="3.33203125" style="86" customWidth="1"/>
    <col min="13255" max="13255" width="4.5546875" style="86" customWidth="1"/>
    <col min="13256" max="13256" width="3.33203125" style="86" customWidth="1"/>
    <col min="13257" max="13259" width="4.5546875" style="86" customWidth="1"/>
    <col min="13260" max="13260" width="3.33203125" style="86" customWidth="1"/>
    <col min="13261" max="13266" width="4.5546875" style="86" customWidth="1"/>
    <col min="13267" max="13267" width="6.44140625" style="86" customWidth="1"/>
    <col min="13268" max="13278" width="4.5546875" style="86" customWidth="1"/>
    <col min="13279" max="13280" width="5.6640625" style="86" customWidth="1"/>
    <col min="13281" max="13281" width="9" style="86" customWidth="1"/>
    <col min="13282" max="13282" width="10" style="86" customWidth="1"/>
    <col min="13283" max="13283" width="8.5546875" style="86" customWidth="1"/>
    <col min="13284" max="13284" width="13" style="86" customWidth="1"/>
    <col min="13285" max="13285" width="13.109375" style="86" customWidth="1"/>
    <col min="13286" max="13286" width="10.44140625" style="86" customWidth="1"/>
    <col min="13287" max="13287" width="9.33203125" style="86" customWidth="1"/>
    <col min="13288" max="13288" width="9.44140625" style="86" customWidth="1"/>
    <col min="13289" max="13289" width="8.109375" style="86" customWidth="1"/>
    <col min="13290" max="13290" width="11.6640625" style="86" customWidth="1"/>
    <col min="13291" max="13291" width="11.33203125" style="86" customWidth="1"/>
    <col min="13292" max="13292" width="10.6640625" style="86" customWidth="1"/>
    <col min="13293" max="13293" width="20.5546875" style="86" bestFit="1" customWidth="1"/>
    <col min="13294" max="13294" width="11.44140625" style="86" customWidth="1"/>
    <col min="13295" max="13295" width="9.109375" style="86"/>
    <col min="13296" max="13296" width="10" style="86" customWidth="1"/>
    <col min="13297" max="13297" width="12.5546875" style="86" customWidth="1"/>
    <col min="13298" max="13298" width="10.44140625" style="86" customWidth="1"/>
    <col min="13299" max="13469" width="9.109375" style="86"/>
    <col min="13470" max="13470" width="16.109375" style="86" customWidth="1"/>
    <col min="13471" max="13471" width="12.88671875" style="86" customWidth="1"/>
    <col min="13472" max="13472" width="16.109375" style="86" customWidth="1"/>
    <col min="13473" max="13473" width="48.5546875" style="86" customWidth="1"/>
    <col min="13474" max="13474" width="12.44140625" style="86" customWidth="1"/>
    <col min="13475" max="13475" width="9.6640625" style="86" customWidth="1"/>
    <col min="13476" max="13476" width="11" style="86" customWidth="1"/>
    <col min="13477" max="13477" width="6.5546875" style="86" customWidth="1"/>
    <col min="13478" max="13478" width="7.44140625" style="86" customWidth="1"/>
    <col min="13479" max="13479" width="6.6640625" style="86" customWidth="1"/>
    <col min="13480" max="13480" width="12.5546875" style="86" customWidth="1"/>
    <col min="13481" max="13481" width="8.5546875" style="86" customWidth="1"/>
    <col min="13482" max="13482" width="9.109375" style="86" customWidth="1"/>
    <col min="13483" max="13483" width="13.88671875" style="86" customWidth="1"/>
    <col min="13484" max="13484" width="14" style="86" customWidth="1"/>
    <col min="13485" max="13485" width="4.5546875" style="86" customWidth="1"/>
    <col min="13486" max="13486" width="5.109375" style="86" customWidth="1"/>
    <col min="13487" max="13487" width="5" style="86" customWidth="1"/>
    <col min="13488" max="13488" width="6" style="86" customWidth="1"/>
    <col min="13489" max="13489" width="5.6640625" style="86" customWidth="1"/>
    <col min="13490" max="13490" width="4.88671875" style="86" customWidth="1"/>
    <col min="13491" max="13491" width="3.33203125" style="86" customWidth="1"/>
    <col min="13492" max="13492" width="38" style="86" customWidth="1"/>
    <col min="13493" max="13493" width="5.5546875" style="86" customWidth="1"/>
    <col min="13494" max="13494" width="5.33203125" style="86" customWidth="1"/>
    <col min="13495" max="13495" width="7.88671875" style="86" customWidth="1"/>
    <col min="13496" max="13496" width="5.6640625" style="86" customWidth="1"/>
    <col min="13497" max="13497" width="12.33203125" style="86" customWidth="1"/>
    <col min="13498" max="13498" width="10.44140625" style="86" customWidth="1"/>
    <col min="13499" max="13499" width="11.44140625" style="86" customWidth="1"/>
    <col min="13500" max="13500" width="24.88671875" style="86" customWidth="1"/>
    <col min="13501" max="13504" width="3.33203125" style="86" customWidth="1"/>
    <col min="13505" max="13505" width="4" style="86" customWidth="1"/>
    <col min="13506" max="13510" width="3.33203125" style="86" customWidth="1"/>
    <col min="13511" max="13511" width="4.5546875" style="86" customWidth="1"/>
    <col min="13512" max="13512" width="3.33203125" style="86" customWidth="1"/>
    <col min="13513" max="13515" width="4.5546875" style="86" customWidth="1"/>
    <col min="13516" max="13516" width="3.33203125" style="86" customWidth="1"/>
    <col min="13517" max="13522" width="4.5546875" style="86" customWidth="1"/>
    <col min="13523" max="13523" width="6.44140625" style="86" customWidth="1"/>
    <col min="13524" max="13534" width="4.5546875" style="86" customWidth="1"/>
    <col min="13535" max="13536" width="5.6640625" style="86" customWidth="1"/>
    <col min="13537" max="13537" width="9" style="86" customWidth="1"/>
    <col min="13538" max="13538" width="10" style="86" customWidth="1"/>
    <col min="13539" max="13539" width="8.5546875" style="86" customWidth="1"/>
    <col min="13540" max="13540" width="13" style="86" customWidth="1"/>
    <col min="13541" max="13541" width="13.109375" style="86" customWidth="1"/>
    <col min="13542" max="13542" width="10.44140625" style="86" customWidth="1"/>
    <col min="13543" max="13543" width="9.33203125" style="86" customWidth="1"/>
    <col min="13544" max="13544" width="9.44140625" style="86" customWidth="1"/>
    <col min="13545" max="13545" width="8.109375" style="86" customWidth="1"/>
    <col min="13546" max="13546" width="11.6640625" style="86" customWidth="1"/>
    <col min="13547" max="13547" width="11.33203125" style="86" customWidth="1"/>
    <col min="13548" max="13548" width="10.6640625" style="86" customWidth="1"/>
    <col min="13549" max="13549" width="20.5546875" style="86" bestFit="1" customWidth="1"/>
    <col min="13550" max="13550" width="11.44140625" style="86" customWidth="1"/>
    <col min="13551" max="13551" width="9.109375" style="86"/>
    <col min="13552" max="13552" width="10" style="86" customWidth="1"/>
    <col min="13553" max="13553" width="12.5546875" style="86" customWidth="1"/>
    <col min="13554" max="13554" width="10.44140625" style="86" customWidth="1"/>
    <col min="13555" max="13725" width="9.109375" style="86"/>
    <col min="13726" max="13726" width="16.109375" style="86" customWidth="1"/>
    <col min="13727" max="13727" width="12.88671875" style="86" customWidth="1"/>
    <col min="13728" max="13728" width="16.109375" style="86" customWidth="1"/>
    <col min="13729" max="13729" width="48.5546875" style="86" customWidth="1"/>
    <col min="13730" max="13730" width="12.44140625" style="86" customWidth="1"/>
    <col min="13731" max="13731" width="9.6640625" style="86" customWidth="1"/>
    <col min="13732" max="13732" width="11" style="86" customWidth="1"/>
    <col min="13733" max="13733" width="6.5546875" style="86" customWidth="1"/>
    <col min="13734" max="13734" width="7.44140625" style="86" customWidth="1"/>
    <col min="13735" max="13735" width="6.6640625" style="86" customWidth="1"/>
    <col min="13736" max="13736" width="12.5546875" style="86" customWidth="1"/>
    <col min="13737" max="13737" width="8.5546875" style="86" customWidth="1"/>
    <col min="13738" max="13738" width="9.109375" style="86" customWidth="1"/>
    <col min="13739" max="13739" width="13.88671875" style="86" customWidth="1"/>
    <col min="13740" max="13740" width="14" style="86" customWidth="1"/>
    <col min="13741" max="13741" width="4.5546875" style="86" customWidth="1"/>
    <col min="13742" max="13742" width="5.109375" style="86" customWidth="1"/>
    <col min="13743" max="13743" width="5" style="86" customWidth="1"/>
    <col min="13744" max="13744" width="6" style="86" customWidth="1"/>
    <col min="13745" max="13745" width="5.6640625" style="86" customWidth="1"/>
    <col min="13746" max="13746" width="4.88671875" style="86" customWidth="1"/>
    <col min="13747" max="13747" width="3.33203125" style="86" customWidth="1"/>
    <col min="13748" max="13748" width="38" style="86" customWidth="1"/>
    <col min="13749" max="13749" width="5.5546875" style="86" customWidth="1"/>
    <col min="13750" max="13750" width="5.33203125" style="86" customWidth="1"/>
    <col min="13751" max="13751" width="7.88671875" style="86" customWidth="1"/>
    <col min="13752" max="13752" width="5.6640625" style="86" customWidth="1"/>
    <col min="13753" max="13753" width="12.33203125" style="86" customWidth="1"/>
    <col min="13754" max="13754" width="10.44140625" style="86" customWidth="1"/>
    <col min="13755" max="13755" width="11.44140625" style="86" customWidth="1"/>
    <col min="13756" max="13756" width="24.88671875" style="86" customWidth="1"/>
    <col min="13757" max="13760" width="3.33203125" style="86" customWidth="1"/>
    <col min="13761" max="13761" width="4" style="86" customWidth="1"/>
    <col min="13762" max="13766" width="3.33203125" style="86" customWidth="1"/>
    <col min="13767" max="13767" width="4.5546875" style="86" customWidth="1"/>
    <col min="13768" max="13768" width="3.33203125" style="86" customWidth="1"/>
    <col min="13769" max="13771" width="4.5546875" style="86" customWidth="1"/>
    <col min="13772" max="13772" width="3.33203125" style="86" customWidth="1"/>
    <col min="13773" max="13778" width="4.5546875" style="86" customWidth="1"/>
    <col min="13779" max="13779" width="6.44140625" style="86" customWidth="1"/>
    <col min="13780" max="13790" width="4.5546875" style="86" customWidth="1"/>
    <col min="13791" max="13792" width="5.6640625" style="86" customWidth="1"/>
    <col min="13793" max="13793" width="9" style="86" customWidth="1"/>
    <col min="13794" max="13794" width="10" style="86" customWidth="1"/>
    <col min="13795" max="13795" width="8.5546875" style="86" customWidth="1"/>
    <col min="13796" max="13796" width="13" style="86" customWidth="1"/>
    <col min="13797" max="13797" width="13.109375" style="86" customWidth="1"/>
    <col min="13798" max="13798" width="10.44140625" style="86" customWidth="1"/>
    <col min="13799" max="13799" width="9.33203125" style="86" customWidth="1"/>
    <col min="13800" max="13800" width="9.44140625" style="86" customWidth="1"/>
    <col min="13801" max="13801" width="8.109375" style="86" customWidth="1"/>
    <col min="13802" max="13802" width="11.6640625" style="86" customWidth="1"/>
    <col min="13803" max="13803" width="11.33203125" style="86" customWidth="1"/>
    <col min="13804" max="13804" width="10.6640625" style="86" customWidth="1"/>
    <col min="13805" max="13805" width="20.5546875" style="86" bestFit="1" customWidth="1"/>
    <col min="13806" max="13806" width="11.44140625" style="86" customWidth="1"/>
    <col min="13807" max="13807" width="9.109375" style="86"/>
    <col min="13808" max="13808" width="10" style="86" customWidth="1"/>
    <col min="13809" max="13809" width="12.5546875" style="86" customWidth="1"/>
    <col min="13810" max="13810" width="10.44140625" style="86" customWidth="1"/>
    <col min="13811" max="13981" width="9.109375" style="86"/>
    <col min="13982" max="13982" width="16.109375" style="86" customWidth="1"/>
    <col min="13983" max="13983" width="12.88671875" style="86" customWidth="1"/>
    <col min="13984" max="13984" width="16.109375" style="86" customWidth="1"/>
    <col min="13985" max="13985" width="48.5546875" style="86" customWidth="1"/>
    <col min="13986" max="13986" width="12.44140625" style="86" customWidth="1"/>
    <col min="13987" max="13987" width="9.6640625" style="86" customWidth="1"/>
    <col min="13988" max="13988" width="11" style="86" customWidth="1"/>
    <col min="13989" max="13989" width="6.5546875" style="86" customWidth="1"/>
    <col min="13990" max="13990" width="7.44140625" style="86" customWidth="1"/>
    <col min="13991" max="13991" width="6.6640625" style="86" customWidth="1"/>
    <col min="13992" max="13992" width="12.5546875" style="86" customWidth="1"/>
    <col min="13993" max="13993" width="8.5546875" style="86" customWidth="1"/>
    <col min="13994" max="13994" width="9.109375" style="86" customWidth="1"/>
    <col min="13995" max="13995" width="13.88671875" style="86" customWidth="1"/>
    <col min="13996" max="13996" width="14" style="86" customWidth="1"/>
    <col min="13997" max="13997" width="4.5546875" style="86" customWidth="1"/>
    <col min="13998" max="13998" width="5.109375" style="86" customWidth="1"/>
    <col min="13999" max="13999" width="5" style="86" customWidth="1"/>
    <col min="14000" max="14000" width="6" style="86" customWidth="1"/>
    <col min="14001" max="14001" width="5.6640625" style="86" customWidth="1"/>
    <col min="14002" max="14002" width="4.88671875" style="86" customWidth="1"/>
    <col min="14003" max="14003" width="3.33203125" style="86" customWidth="1"/>
    <col min="14004" max="14004" width="38" style="86" customWidth="1"/>
    <col min="14005" max="14005" width="5.5546875" style="86" customWidth="1"/>
    <col min="14006" max="14006" width="5.33203125" style="86" customWidth="1"/>
    <col min="14007" max="14007" width="7.88671875" style="86" customWidth="1"/>
    <col min="14008" max="14008" width="5.6640625" style="86" customWidth="1"/>
    <col min="14009" max="14009" width="12.33203125" style="86" customWidth="1"/>
    <col min="14010" max="14010" width="10.44140625" style="86" customWidth="1"/>
    <col min="14011" max="14011" width="11.44140625" style="86" customWidth="1"/>
    <col min="14012" max="14012" width="24.88671875" style="86" customWidth="1"/>
    <col min="14013" max="14016" width="3.33203125" style="86" customWidth="1"/>
    <col min="14017" max="14017" width="4" style="86" customWidth="1"/>
    <col min="14018" max="14022" width="3.33203125" style="86" customWidth="1"/>
    <col min="14023" max="14023" width="4.5546875" style="86" customWidth="1"/>
    <col min="14024" max="14024" width="3.33203125" style="86" customWidth="1"/>
    <col min="14025" max="14027" width="4.5546875" style="86" customWidth="1"/>
    <col min="14028" max="14028" width="3.33203125" style="86" customWidth="1"/>
    <col min="14029" max="14034" width="4.5546875" style="86" customWidth="1"/>
    <col min="14035" max="14035" width="6.44140625" style="86" customWidth="1"/>
    <col min="14036" max="14046" width="4.5546875" style="86" customWidth="1"/>
    <col min="14047" max="14048" width="5.6640625" style="86" customWidth="1"/>
    <col min="14049" max="14049" width="9" style="86" customWidth="1"/>
    <col min="14050" max="14050" width="10" style="86" customWidth="1"/>
    <col min="14051" max="14051" width="8.5546875" style="86" customWidth="1"/>
    <col min="14052" max="14052" width="13" style="86" customWidth="1"/>
    <col min="14053" max="14053" width="13.109375" style="86" customWidth="1"/>
    <col min="14054" max="14054" width="10.44140625" style="86" customWidth="1"/>
    <col min="14055" max="14055" width="9.33203125" style="86" customWidth="1"/>
    <col min="14056" max="14056" width="9.44140625" style="86" customWidth="1"/>
    <col min="14057" max="14057" width="8.109375" style="86" customWidth="1"/>
    <col min="14058" max="14058" width="11.6640625" style="86" customWidth="1"/>
    <col min="14059" max="14059" width="11.33203125" style="86" customWidth="1"/>
    <col min="14060" max="14060" width="10.6640625" style="86" customWidth="1"/>
    <col min="14061" max="14061" width="20.5546875" style="86" bestFit="1" customWidth="1"/>
    <col min="14062" max="14062" width="11.44140625" style="86" customWidth="1"/>
    <col min="14063" max="14063" width="9.109375" style="86"/>
    <col min="14064" max="14064" width="10" style="86" customWidth="1"/>
    <col min="14065" max="14065" width="12.5546875" style="86" customWidth="1"/>
    <col min="14066" max="14066" width="10.44140625" style="86" customWidth="1"/>
    <col min="14067" max="16384" width="9.109375" style="86"/>
  </cols>
  <sheetData>
    <row r="1" spans="1:140" s="87" customFormat="1" ht="15" customHeight="1" x14ac:dyDescent="0.25">
      <c r="A1" s="196" t="s">
        <v>428</v>
      </c>
      <c r="B1" s="197"/>
      <c r="C1" s="197"/>
      <c r="D1" s="197"/>
      <c r="E1" s="197"/>
      <c r="F1" s="197"/>
      <c r="G1" s="198"/>
      <c r="H1" s="114"/>
      <c r="I1" s="206" t="s">
        <v>228</v>
      </c>
      <c r="J1" s="206"/>
      <c r="K1" s="206"/>
      <c r="L1" s="206"/>
      <c r="M1" s="207" t="s">
        <v>452</v>
      </c>
      <c r="N1" s="207"/>
      <c r="O1" s="207"/>
      <c r="P1" s="207"/>
      <c r="Q1" s="208" t="s">
        <v>550</v>
      </c>
      <c r="R1" s="208"/>
      <c r="S1" s="208"/>
      <c r="T1" s="208"/>
      <c r="U1" s="208"/>
      <c r="V1" s="208"/>
      <c r="W1" s="208"/>
      <c r="X1" s="208"/>
      <c r="Y1" s="209" t="s">
        <v>453</v>
      </c>
      <c r="Z1" s="209"/>
      <c r="AA1" s="209"/>
      <c r="AB1" s="210"/>
      <c r="AC1" s="209"/>
      <c r="AD1" s="207" t="s">
        <v>229</v>
      </c>
      <c r="AE1" s="207"/>
      <c r="AF1" s="207"/>
      <c r="AG1" s="199" t="s">
        <v>230</v>
      </c>
      <c r="AH1" s="200"/>
      <c r="AI1" s="200"/>
      <c r="AJ1" s="200"/>
      <c r="AK1" s="200"/>
      <c r="AL1" s="200"/>
      <c r="AM1" s="200"/>
      <c r="AN1" s="200"/>
      <c r="AO1" s="200"/>
      <c r="AP1" s="200"/>
      <c r="AQ1" s="200"/>
      <c r="AR1" s="200"/>
      <c r="AS1" s="200"/>
      <c r="AT1" s="200"/>
      <c r="AU1" s="200"/>
      <c r="AV1" s="200"/>
      <c r="AW1" s="200"/>
      <c r="AX1" s="200"/>
      <c r="AY1" s="200"/>
      <c r="AZ1" s="200"/>
      <c r="BA1" s="200"/>
      <c r="BB1" s="200"/>
      <c r="BC1" s="200"/>
      <c r="BD1" s="200"/>
      <c r="BE1" s="200"/>
      <c r="BF1" s="200"/>
      <c r="BG1" s="200"/>
      <c r="BH1" s="200"/>
      <c r="BI1" s="200"/>
      <c r="BJ1" s="200"/>
      <c r="BK1" s="200"/>
      <c r="BL1" s="200"/>
      <c r="BM1" s="200"/>
      <c r="BN1" s="200"/>
      <c r="BO1" s="200"/>
      <c r="BP1" s="200"/>
      <c r="BQ1" s="200"/>
      <c r="BR1" s="200"/>
      <c r="BS1" s="200"/>
      <c r="BT1" s="200"/>
      <c r="BU1" s="200"/>
      <c r="BV1" s="200"/>
      <c r="BW1" s="200"/>
      <c r="BX1" s="200"/>
      <c r="BY1" s="200"/>
      <c r="BZ1" s="200"/>
      <c r="CA1" s="200"/>
      <c r="CB1" s="200"/>
      <c r="CC1" s="200"/>
      <c r="CD1" s="200"/>
      <c r="CE1" s="200"/>
      <c r="CF1" s="200"/>
      <c r="CG1" s="200"/>
      <c r="CH1" s="200"/>
      <c r="CI1" s="200"/>
      <c r="CJ1" s="200"/>
      <c r="CK1" s="200"/>
      <c r="CL1" s="200"/>
      <c r="CM1" s="200"/>
      <c r="CN1" s="200"/>
      <c r="CO1" s="200"/>
      <c r="CP1" s="200"/>
      <c r="CQ1" s="200"/>
      <c r="CR1" s="200"/>
      <c r="CS1" s="200"/>
      <c r="CT1" s="200"/>
      <c r="CU1" s="200"/>
      <c r="CV1" s="200"/>
      <c r="CW1" s="200"/>
      <c r="CX1" s="200"/>
      <c r="CY1" s="200"/>
      <c r="CZ1" s="200"/>
      <c r="DA1" s="200"/>
      <c r="DB1" s="200"/>
      <c r="DC1" s="200"/>
      <c r="DD1" s="200"/>
      <c r="DE1" s="200"/>
      <c r="DF1" s="200"/>
      <c r="DG1" s="200"/>
      <c r="DH1" s="200"/>
      <c r="DI1" s="200"/>
      <c r="DJ1" s="200"/>
      <c r="DK1" s="200"/>
      <c r="DL1" s="200"/>
      <c r="DM1" s="200"/>
      <c r="DN1" s="200"/>
      <c r="DO1" s="200"/>
      <c r="DP1" s="201"/>
      <c r="DQ1" s="206" t="s">
        <v>231</v>
      </c>
      <c r="DR1" s="206"/>
      <c r="DS1" s="206"/>
      <c r="DT1" s="206"/>
      <c r="DU1" s="206"/>
      <c r="DV1" s="206"/>
      <c r="DW1" s="202" t="s">
        <v>424</v>
      </c>
      <c r="DX1" s="203"/>
      <c r="DY1" s="203"/>
      <c r="DZ1" s="203"/>
      <c r="EA1" s="204"/>
      <c r="EB1" s="205" t="s">
        <v>232</v>
      </c>
      <c r="EC1" s="205"/>
      <c r="ED1" s="194" t="s">
        <v>233</v>
      </c>
      <c r="EE1" s="195"/>
      <c r="EF1" s="195"/>
      <c r="EG1" s="195"/>
      <c r="EH1" s="195"/>
    </row>
    <row r="2" spans="1:140" s="88" customFormat="1" ht="126.75" customHeight="1" x14ac:dyDescent="0.25">
      <c r="A2" s="90" t="s">
        <v>429</v>
      </c>
      <c r="B2" s="90" t="s">
        <v>683</v>
      </c>
      <c r="C2" s="90" t="s">
        <v>430</v>
      </c>
      <c r="D2" s="90" t="s">
        <v>161</v>
      </c>
      <c r="E2" s="76" t="s">
        <v>234</v>
      </c>
      <c r="F2" s="77" t="s">
        <v>235</v>
      </c>
      <c r="G2" s="76" t="s">
        <v>236</v>
      </c>
      <c r="H2" s="76" t="s">
        <v>548</v>
      </c>
      <c r="I2" s="79" t="s">
        <v>445</v>
      </c>
      <c r="J2" s="79" t="s">
        <v>237</v>
      </c>
      <c r="K2" s="79" t="s">
        <v>446</v>
      </c>
      <c r="L2" s="79" t="s">
        <v>238</v>
      </c>
      <c r="M2" s="81" t="s">
        <v>592</v>
      </c>
      <c r="N2" s="81" t="s">
        <v>593</v>
      </c>
      <c r="O2" s="80" t="s">
        <v>557</v>
      </c>
      <c r="P2" s="80" t="s">
        <v>551</v>
      </c>
      <c r="Q2" s="60" t="s">
        <v>239</v>
      </c>
      <c r="R2" s="60" t="s">
        <v>240</v>
      </c>
      <c r="S2" s="60" t="s">
        <v>241</v>
      </c>
      <c r="T2" s="60" t="s">
        <v>242</v>
      </c>
      <c r="U2" s="60" t="s">
        <v>243</v>
      </c>
      <c r="V2" s="60" t="s">
        <v>244</v>
      </c>
      <c r="W2" s="60" t="s">
        <v>245</v>
      </c>
      <c r="X2" s="60" t="s">
        <v>246</v>
      </c>
      <c r="Y2" s="79" t="s">
        <v>247</v>
      </c>
      <c r="Z2" s="79" t="s">
        <v>248</v>
      </c>
      <c r="AA2" s="79" t="s">
        <v>249</v>
      </c>
      <c r="AB2" s="79" t="s">
        <v>250</v>
      </c>
      <c r="AC2" s="79" t="s">
        <v>251</v>
      </c>
      <c r="AD2" s="80" t="s">
        <v>422</v>
      </c>
      <c r="AE2" s="80" t="s">
        <v>554</v>
      </c>
      <c r="AF2" s="80" t="s">
        <v>252</v>
      </c>
      <c r="AG2" s="60" t="str">
        <f>'Application Matrix'!A6</f>
        <v>360 View</v>
      </c>
      <c r="AH2" s="60" t="str">
        <f>'Application Matrix'!A7</f>
        <v>ABG</v>
      </c>
      <c r="AI2" s="60" t="str">
        <f>'Application Matrix'!A8</f>
        <v>Access Manager</v>
      </c>
      <c r="AJ2" s="60" t="str">
        <f>'Application Matrix'!A9</f>
        <v>Adobe</v>
      </c>
      <c r="AK2" s="60" t="str">
        <f>'Application Matrix'!A10</f>
        <v>ADP Workforce</v>
      </c>
      <c r="AL2" s="60" t="str">
        <f>'Application Matrix'!A11</f>
        <v>Andera -Bottomline</v>
      </c>
      <c r="AM2" s="60" t="str">
        <f>'Application Matrix'!A12</f>
        <v>C3 - Fiserv Support</v>
      </c>
      <c r="AN2" s="60" t="str">
        <f>'Application Matrix'!A13</f>
        <v xml:space="preserve">C3 Financial </v>
      </c>
      <c r="AO2" s="60" t="str">
        <f>'Application Matrix'!A14</f>
        <v>Call Reporter Software (Y9?)</v>
      </c>
      <c r="AP2" s="60" t="str">
        <f>'Application Matrix'!A15</f>
        <v>Card Logics</v>
      </c>
      <c r="AQ2" s="60" t="str">
        <f>'Application Matrix'!A16</f>
        <v>CashWare - recycler integration</v>
      </c>
      <c r="AR2" s="60" t="str">
        <f>'Application Matrix'!A17</f>
        <v>Centrix (ACH/TMS/ARS management)</v>
      </c>
      <c r="AS2" s="60" t="str">
        <f>'Application Matrix'!A18</f>
        <v>CheckPoint (FW)</v>
      </c>
      <c r="AT2" s="60" t="str">
        <f>'Application Matrix'!A19</f>
        <v>ClickSwitch</v>
      </c>
      <c r="AU2" s="60" t="str">
        <f>'Application Matrix'!A20</f>
        <v>Company Website - KB.com</v>
      </c>
      <c r="AV2" s="60" t="str">
        <f>'Application Matrix'!A21</f>
        <v>Compass</v>
      </c>
      <c r="AW2" s="60" t="str">
        <f>'Application Matrix'!A22</f>
        <v>CrediQuest</v>
      </c>
      <c r="AX2" s="60" t="str">
        <f>'Application Matrix'!A23</f>
        <v>CRIF</v>
      </c>
      <c r="AY2" s="60" t="str">
        <f>'Application Matrix'!A24</f>
        <v>CST - Consumer Bill Pay</v>
      </c>
      <c r="AZ2" s="60" t="str">
        <f>'Application Matrix'!A25</f>
        <v>DecisionPro</v>
      </c>
      <c r="BA2" s="60" t="str">
        <f>'Application Matrix'!A26</f>
        <v>Deluxe Checks</v>
      </c>
      <c r="BB2" s="60" t="str">
        <f>'Application Matrix'!A27</f>
        <v>Deposit Pro</v>
      </c>
      <c r="BC2" s="60" t="str">
        <f>'Application Matrix'!A28</f>
        <v>Digital Insight</v>
      </c>
      <c r="BD2" s="60" t="str">
        <f>'Application Matrix'!A29</f>
        <v>Director</v>
      </c>
      <c r="BE2" s="60" t="str">
        <f>'Application Matrix'!A30</f>
        <v>eCorp (Fiserv)</v>
      </c>
      <c r="BF2" s="60" t="str">
        <f>'Application Matrix'!A31</f>
        <v>ECOS Gift Card</v>
      </c>
      <c r="BG2" s="60" t="str">
        <f>'Application Matrix'!A32</f>
        <v>Elan</v>
      </c>
      <c r="BH2" s="60" t="str">
        <f>'Application Matrix'!A33</f>
        <v>Elan - Elavon</v>
      </c>
      <c r="BI2" s="60" t="str">
        <f>'Application Matrix'!A34</f>
        <v>Elan - OnDot</v>
      </c>
      <c r="BJ2" s="60" t="str">
        <f>'Application Matrix'!A35</f>
        <v>E-Mail/Outlook</v>
      </c>
      <c r="BK2" s="60" t="str">
        <f>'Application Matrix'!A36</f>
        <v>Ensenta - mobile deposits</v>
      </c>
      <c r="BL2" s="60" t="str">
        <f>'Application Matrix'!A37</f>
        <v>Equifax/ePort</v>
      </c>
      <c r="BM2" s="60" t="str">
        <f>'Application Matrix'!A38</f>
        <v>Exact TMS - Positive Pay</v>
      </c>
      <c r="BN2" s="60" t="str">
        <f>'Application Matrix'!A39</f>
        <v>Express Gift Card</v>
      </c>
      <c r="BO2" s="60" t="str">
        <f>'Application Matrix'!A40</f>
        <v>FedLine &amp; Fed Advantage</v>
      </c>
      <c r="BP2" s="60" t="str">
        <f>'Application Matrix'!A41</f>
        <v>Finance Works</v>
      </c>
      <c r="BQ2" s="60" t="str">
        <f>'Application Matrix'!A42</f>
        <v>FMSI - scheduling</v>
      </c>
      <c r="BR2" s="60" t="str">
        <f>'Application Matrix'!A43</f>
        <v>FraudMap (GA) for wires, ACH, BOLB</v>
      </c>
      <c r="BS2" s="60" t="str">
        <f>'Application Matrix'!A44</f>
        <v>FRB Axway Secure Client</v>
      </c>
      <c r="BT2" s="60" t="str">
        <f>'Application Matrix'!A45</f>
        <v>FTP</v>
      </c>
      <c r="BU2" s="60" t="str">
        <f>'Application Matrix'!A46</f>
        <v>GoToAssist</v>
      </c>
      <c r="BV2" s="60" t="str">
        <f>'Application Matrix'!A47</f>
        <v>GoToMeeting</v>
      </c>
      <c r="BW2" s="60" t="str">
        <f>'Application Matrix'!A48</f>
        <v>GoToTraining</v>
      </c>
      <c r="BX2" s="60" t="str">
        <f>'Application Matrix'!A49</f>
        <v>Greenview</v>
      </c>
      <c r="BY2" s="60" t="str">
        <f>'Application Matrix'!A50</f>
        <v>HSA Service center</v>
      </c>
      <c r="BZ2" s="60" t="str">
        <f>'Application Matrix'!A51</f>
        <v>Ignite</v>
      </c>
      <c r="CA2" s="60" t="str">
        <f>'Application Matrix'!A52</f>
        <v>intranet</v>
      </c>
      <c r="CB2" s="60" t="str">
        <f>'Application Matrix'!A53</f>
        <v>Integrated Teller</v>
      </c>
      <c r="CC2" s="60" t="str">
        <f>'Application Matrix'!A54</f>
        <v>Internet</v>
      </c>
      <c r="CD2" s="60" t="str">
        <f>'Application Matrix'!A55</f>
        <v>IRA Service center</v>
      </c>
      <c r="CE2" s="60" t="str">
        <f>'Application Matrix'!A56</f>
        <v>IVR Messaging</v>
      </c>
      <c r="CF2" s="60" t="str">
        <f>'Application Matrix'!A57</f>
        <v>external hotline</v>
      </c>
      <c r="CG2" s="60" t="str">
        <f>'Application Matrix'!A58</f>
        <v>LaserPro</v>
      </c>
      <c r="CH2" s="60" t="str">
        <f>'Application Matrix'!A59</f>
        <v>Live Person</v>
      </c>
      <c r="CI2" s="60" t="str">
        <f>'Application Matrix'!A60</f>
        <v>MasterCard Applepay</v>
      </c>
      <c r="CJ2" s="60" t="str">
        <f>'Application Matrix'!A61</f>
        <v>Milliman Benefits</v>
      </c>
      <c r="CK2" s="60" t="str">
        <f>'Application Matrix'!A62</f>
        <v>Mobile Iron</v>
      </c>
      <c r="CL2" s="60" t="str">
        <f>'Application Matrix'!A63</f>
        <v>MPC Architect</v>
      </c>
      <c r="CM2" s="60" t="str">
        <f>'Application Matrix'!A64</f>
        <v>MS Office</v>
      </c>
      <c r="CN2" s="60" t="str">
        <f>'Application Matrix'!A65</f>
        <v>Navigator Core (Fiserv)</v>
      </c>
      <c r="CO2" s="60" t="str">
        <f>'Application Matrix'!A66</f>
        <v>NetEconomy</v>
      </c>
      <c r="CP2" s="60" t="str">
        <f>'Application Matrix'!A67</f>
        <v>Oaisys</v>
      </c>
      <c r="CQ2" s="60" t="str">
        <f>'Application Matrix'!A68</f>
        <v>ORCC (Fiserv)</v>
      </c>
      <c r="CR2" s="60" t="str">
        <f>'Application Matrix'!A69</f>
        <v>Penley (FIS/Qualfile)</v>
      </c>
      <c r="CS2" s="60" t="str">
        <f>'Application Matrix'!A70</f>
        <v>Phone</v>
      </c>
      <c r="CT2" s="60" t="str">
        <f>'Application Matrix'!A71</f>
        <v>PhoneFactor</v>
      </c>
      <c r="CU2" s="60" t="str">
        <f>'Application Matrix'!A72</f>
        <v>Platform/BPM/Expedite  (Acct Opening)</v>
      </c>
      <c r="CV2" s="60" t="str">
        <f>'Application Matrix'!A73</f>
        <v>PrairieFyre</v>
      </c>
      <c r="CW2" s="60" t="str">
        <f>'Application Matrix'!A74</f>
        <v>Preferred One</v>
      </c>
      <c r="CX2" s="60" t="str">
        <f>'Application Matrix'!A75</f>
        <v>Print Services</v>
      </c>
      <c r="CY2" s="60" t="str">
        <f>'Application Matrix'!A76</f>
        <v>Public Folders (shared drives)</v>
      </c>
      <c r="CZ2" s="60" t="str">
        <f>'Application Matrix'!A77</f>
        <v>Quickbooks/Quicken</v>
      </c>
      <c r="DA2" s="60" t="str">
        <f>'Application Matrix'!A78</f>
        <v>RPX</v>
      </c>
      <c r="DB2" s="60" t="str">
        <f>'Application Matrix'!A79</f>
        <v>SecureWorks Portal</v>
      </c>
      <c r="DC2" s="60" t="str">
        <f>'Application Matrix'!A80</f>
        <v>Source Capture (SCO)/Merchant Capture</v>
      </c>
      <c r="DD2" s="60" t="str">
        <f>'Application Matrix'!A81</f>
        <v>Survey Gizmo</v>
      </c>
      <c r="DE2" s="60" t="str">
        <f>'Application Matrix'!A82</f>
        <v>Voicemail</v>
      </c>
      <c r="DF2" s="60" t="str">
        <f>'Application Matrix'!A83</f>
        <v>Web Capture</v>
      </c>
      <c r="DG2" s="60" t="str">
        <f>'Application Matrix'!A84</f>
        <v>Websense</v>
      </c>
      <c r="DH2" s="60" t="str">
        <f>'Application Matrix'!A85</f>
        <v>Wells Fargo Wires</v>
      </c>
      <c r="DI2" s="60" t="str">
        <f>'Application Matrix'!A86</f>
        <v>Wire Xchange</v>
      </c>
      <c r="DJ2" s="60" t="str">
        <f>'Application Matrix'!A87</f>
        <v>Zix</v>
      </c>
      <c r="DK2" s="60" t="str">
        <f>'Application Matrix'!A88</f>
        <v>Arta &amp; Hostbridge</v>
      </c>
      <c r="DL2" s="60" t="str">
        <f>'Application Matrix'!A89</f>
        <v>BancWare</v>
      </c>
      <c r="DM2" s="60" t="str">
        <f>'Application Matrix'!A108</f>
        <v>Remote Admin (Radmin)</v>
      </c>
      <c r="DN2" s="60" t="str">
        <f>'Application Matrix'!A118</f>
        <v>Wolters Kluwer</v>
      </c>
      <c r="DO2" s="60" t="s">
        <v>253</v>
      </c>
      <c r="DP2" s="60" t="s">
        <v>670</v>
      </c>
      <c r="DQ2" s="79" t="s">
        <v>469</v>
      </c>
      <c r="DR2" s="79" t="s">
        <v>470</v>
      </c>
      <c r="DS2" s="79" t="s">
        <v>549</v>
      </c>
      <c r="DT2" s="78" t="s">
        <v>552</v>
      </c>
      <c r="DU2" s="78" t="s">
        <v>553</v>
      </c>
      <c r="DV2" s="78" t="s">
        <v>254</v>
      </c>
      <c r="DW2" s="81" t="s">
        <v>423</v>
      </c>
      <c r="DX2" s="81" t="s">
        <v>255</v>
      </c>
      <c r="DY2" s="81" t="s">
        <v>256</v>
      </c>
      <c r="DZ2" s="80" t="s">
        <v>257</v>
      </c>
      <c r="EA2" s="80" t="s">
        <v>449</v>
      </c>
      <c r="EB2" s="61" t="s">
        <v>258</v>
      </c>
      <c r="EC2" s="61" t="s">
        <v>259</v>
      </c>
      <c r="ED2" s="80" t="s">
        <v>260</v>
      </c>
      <c r="EE2" s="80" t="s">
        <v>261</v>
      </c>
      <c r="EF2" s="80" t="s">
        <v>262</v>
      </c>
      <c r="EG2" s="80" t="s">
        <v>263</v>
      </c>
      <c r="EH2" s="80" t="s">
        <v>547</v>
      </c>
    </row>
    <row r="3" spans="1:140" ht="79.2" outlineLevel="1" x14ac:dyDescent="0.25">
      <c r="A3" s="91"/>
      <c r="B3" s="122" t="s">
        <v>665</v>
      </c>
      <c r="C3" s="56" t="s">
        <v>665</v>
      </c>
      <c r="D3" s="56" t="s">
        <v>167</v>
      </c>
      <c r="E3" s="56" t="s">
        <v>387</v>
      </c>
      <c r="F3" s="57" t="s">
        <v>279</v>
      </c>
      <c r="G3" s="57" t="s">
        <v>668</v>
      </c>
      <c r="H3" s="58"/>
      <c r="I3" s="57" t="s">
        <v>196</v>
      </c>
      <c r="J3" s="57" t="s">
        <v>196</v>
      </c>
      <c r="K3" s="57" t="s">
        <v>196</v>
      </c>
      <c r="L3" s="57" t="s">
        <v>382</v>
      </c>
      <c r="M3" s="57"/>
      <c r="N3" s="57" t="s">
        <v>267</v>
      </c>
      <c r="O3" s="57"/>
      <c r="P3" s="57"/>
      <c r="Q3" s="57" t="s">
        <v>268</v>
      </c>
      <c r="R3" s="57" t="s">
        <v>268</v>
      </c>
      <c r="S3" s="57" t="s">
        <v>272</v>
      </c>
      <c r="T3" s="57" t="s">
        <v>272</v>
      </c>
      <c r="U3" s="57" t="s">
        <v>268</v>
      </c>
      <c r="V3" s="62" t="s">
        <v>272</v>
      </c>
      <c r="W3" s="62" t="s">
        <v>268</v>
      </c>
      <c r="X3" s="63" t="s">
        <v>295</v>
      </c>
      <c r="Y3" s="64" t="s">
        <v>268</v>
      </c>
      <c r="Z3" s="64" t="s">
        <v>268</v>
      </c>
      <c r="AA3" s="62" t="s">
        <v>272</v>
      </c>
      <c r="AB3" s="59" t="s">
        <v>269</v>
      </c>
      <c r="AC3" s="59"/>
      <c r="AD3" s="59" t="s">
        <v>274</v>
      </c>
      <c r="AE3" s="57"/>
      <c r="AF3" s="63" t="s">
        <v>383</v>
      </c>
      <c r="AG3" s="62" t="s">
        <v>267</v>
      </c>
      <c r="AH3" s="62" t="s">
        <v>267</v>
      </c>
      <c r="AI3" s="62" t="s">
        <v>267</v>
      </c>
      <c r="AJ3" s="62" t="s">
        <v>267</v>
      </c>
      <c r="AK3" s="62"/>
      <c r="AL3" s="62" t="s">
        <v>267</v>
      </c>
      <c r="AM3" s="62" t="s">
        <v>267</v>
      </c>
      <c r="AN3" s="62" t="s">
        <v>267</v>
      </c>
      <c r="AO3" s="62" t="s">
        <v>267</v>
      </c>
      <c r="AP3" s="62"/>
      <c r="AQ3" s="62"/>
      <c r="AR3" s="62"/>
      <c r="AS3" s="62"/>
      <c r="AT3" s="62"/>
      <c r="AU3" s="62"/>
      <c r="AV3" s="62"/>
      <c r="AW3" s="62"/>
      <c r="AX3" s="62"/>
      <c r="AY3" s="62"/>
      <c r="AZ3" s="62"/>
      <c r="BA3" s="62"/>
      <c r="BB3" s="62"/>
      <c r="BC3" s="62"/>
      <c r="BD3" s="62"/>
      <c r="BE3" s="62"/>
      <c r="BF3" s="62"/>
      <c r="BG3" s="62"/>
      <c r="BH3" s="62"/>
      <c r="BI3" s="62"/>
      <c r="BJ3" s="62"/>
      <c r="BK3" s="62"/>
      <c r="BL3" s="62"/>
      <c r="BM3" s="62"/>
      <c r="BN3" s="62"/>
      <c r="BO3" s="62" t="s">
        <v>267</v>
      </c>
      <c r="BP3" s="62"/>
      <c r="BQ3" s="62"/>
      <c r="BR3" s="62"/>
      <c r="BS3" s="62"/>
      <c r="BT3" s="62"/>
      <c r="BU3" s="62"/>
      <c r="BV3" s="62"/>
      <c r="BW3" s="62"/>
      <c r="BX3" s="62"/>
      <c r="BY3" s="62"/>
      <c r="BZ3" s="62" t="s">
        <v>267</v>
      </c>
      <c r="CA3" s="62"/>
      <c r="CB3" s="62"/>
      <c r="CC3" s="62"/>
      <c r="CD3" s="62"/>
      <c r="CE3" s="62"/>
      <c r="CF3" s="62"/>
      <c r="CG3" s="62"/>
      <c r="CH3" s="62"/>
      <c r="CI3" s="62"/>
      <c r="CJ3" s="62"/>
      <c r="CK3" s="62"/>
      <c r="CL3" s="62"/>
      <c r="CM3" s="62"/>
      <c r="CN3" s="62" t="s">
        <v>267</v>
      </c>
      <c r="CO3" s="62"/>
      <c r="CP3" s="62"/>
      <c r="CQ3" s="62"/>
      <c r="CR3" s="62"/>
      <c r="CS3" s="62"/>
      <c r="CT3" s="62"/>
      <c r="CU3" s="62"/>
      <c r="CV3" s="62"/>
      <c r="CW3" s="62"/>
      <c r="CX3" s="62"/>
      <c r="CY3" s="62" t="s">
        <v>267</v>
      </c>
      <c r="CZ3" s="62"/>
      <c r="DA3" s="62"/>
      <c r="DB3" s="62"/>
      <c r="DC3" s="62"/>
      <c r="DD3" s="62"/>
      <c r="DE3" s="62"/>
      <c r="DF3" s="62"/>
      <c r="DG3" s="62"/>
      <c r="DH3" s="62"/>
      <c r="DI3" s="62"/>
      <c r="DJ3" s="62"/>
      <c r="DK3" s="62"/>
      <c r="DL3" s="62"/>
      <c r="DM3" s="62"/>
      <c r="DN3" s="62" t="s">
        <v>267</v>
      </c>
      <c r="DO3" s="62"/>
      <c r="DP3" s="62" t="s">
        <v>225</v>
      </c>
      <c r="DQ3" s="62"/>
      <c r="DR3" s="62"/>
      <c r="DS3" s="62"/>
      <c r="DT3" s="62"/>
      <c r="DU3" s="62"/>
      <c r="DV3" s="62"/>
      <c r="DW3" s="62" t="s">
        <v>274</v>
      </c>
      <c r="DX3" s="62" t="s">
        <v>274</v>
      </c>
      <c r="DY3" s="62" t="s">
        <v>274</v>
      </c>
      <c r="DZ3" s="62" t="s">
        <v>274</v>
      </c>
      <c r="EA3" s="62" t="s">
        <v>274</v>
      </c>
      <c r="EB3" s="65"/>
      <c r="EC3" s="62"/>
      <c r="ED3" s="56"/>
      <c r="EE3" s="56"/>
      <c r="EF3" s="56"/>
      <c r="EG3" s="56"/>
      <c r="EH3" s="58"/>
      <c r="EI3" s="86"/>
      <c r="EJ3" s="86"/>
    </row>
    <row r="4" spans="1:140" ht="52.8" outlineLevel="1" x14ac:dyDescent="0.25">
      <c r="A4" s="91"/>
      <c r="B4" s="125" t="s">
        <v>559</v>
      </c>
      <c r="C4" s="56" t="s">
        <v>361</v>
      </c>
      <c r="D4" s="56" t="s">
        <v>459</v>
      </c>
      <c r="E4" s="56" t="s">
        <v>264</v>
      </c>
      <c r="F4" s="57" t="s">
        <v>265</v>
      </c>
      <c r="G4" s="57" t="s">
        <v>668</v>
      </c>
      <c r="H4" s="58"/>
      <c r="I4" s="57" t="s">
        <v>199</v>
      </c>
      <c r="J4" s="57" t="s">
        <v>199</v>
      </c>
      <c r="K4" s="57" t="s">
        <v>448</v>
      </c>
      <c r="L4" s="62" t="s">
        <v>266</v>
      </c>
      <c r="M4" s="62"/>
      <c r="N4" s="62" t="s">
        <v>267</v>
      </c>
      <c r="O4" s="62"/>
      <c r="P4" s="62"/>
      <c r="Q4" s="62" t="s">
        <v>268</v>
      </c>
      <c r="R4" s="62" t="s">
        <v>268</v>
      </c>
      <c r="S4" s="62" t="s">
        <v>269</v>
      </c>
      <c r="T4" s="62" t="s">
        <v>269</v>
      </c>
      <c r="U4" s="62" t="s">
        <v>268</v>
      </c>
      <c r="V4" s="62" t="s">
        <v>268</v>
      </c>
      <c r="W4" s="62" t="s">
        <v>268</v>
      </c>
      <c r="X4" s="63" t="s">
        <v>270</v>
      </c>
      <c r="Y4" s="64" t="s">
        <v>268</v>
      </c>
      <c r="Z4" s="64" t="s">
        <v>271</v>
      </c>
      <c r="AA4" s="62" t="s">
        <v>272</v>
      </c>
      <c r="AB4" s="59" t="s">
        <v>271</v>
      </c>
      <c r="AC4" s="57" t="s">
        <v>273</v>
      </c>
      <c r="AD4" s="59" t="s">
        <v>274</v>
      </c>
      <c r="AE4" s="57" t="s">
        <v>199</v>
      </c>
      <c r="AF4" s="63" t="s">
        <v>299</v>
      </c>
      <c r="AG4" s="62" t="s">
        <v>267</v>
      </c>
      <c r="AH4" s="62" t="s">
        <v>267</v>
      </c>
      <c r="AI4" s="62" t="s">
        <v>267</v>
      </c>
      <c r="AJ4" s="62" t="s">
        <v>267</v>
      </c>
      <c r="AK4" s="62"/>
      <c r="AL4" s="62" t="s">
        <v>267</v>
      </c>
      <c r="AM4" s="62" t="s">
        <v>267</v>
      </c>
      <c r="AN4" s="62" t="s">
        <v>267</v>
      </c>
      <c r="AO4" s="62" t="s">
        <v>267</v>
      </c>
      <c r="AP4" s="62" t="s">
        <v>267</v>
      </c>
      <c r="AQ4" s="62"/>
      <c r="AR4" s="62" t="s">
        <v>267</v>
      </c>
      <c r="AS4" s="62"/>
      <c r="AT4" s="62" t="s">
        <v>267</v>
      </c>
      <c r="AU4" s="62" t="s">
        <v>267</v>
      </c>
      <c r="AV4" s="62"/>
      <c r="AW4" s="62"/>
      <c r="AX4" s="62"/>
      <c r="AY4" s="62"/>
      <c r="AZ4" s="62"/>
      <c r="BA4" s="62"/>
      <c r="BB4" s="62" t="s">
        <v>267</v>
      </c>
      <c r="BC4" s="62"/>
      <c r="BD4" s="62" t="s">
        <v>267</v>
      </c>
      <c r="BE4" s="62"/>
      <c r="BF4" s="62"/>
      <c r="BG4" s="62" t="s">
        <v>267</v>
      </c>
      <c r="BH4" s="62"/>
      <c r="BI4" s="62"/>
      <c r="BJ4" s="62" t="s">
        <v>267</v>
      </c>
      <c r="BK4" s="62"/>
      <c r="BL4" s="62"/>
      <c r="BM4" s="62"/>
      <c r="BN4" s="62"/>
      <c r="BO4" s="62" t="s">
        <v>267</v>
      </c>
      <c r="BP4" s="62"/>
      <c r="BQ4" s="62"/>
      <c r="BR4" s="62"/>
      <c r="BS4" s="62"/>
      <c r="BT4" s="62"/>
      <c r="BU4" s="62"/>
      <c r="BV4" s="62"/>
      <c r="BW4" s="62"/>
      <c r="BX4" s="62"/>
      <c r="BY4" s="62"/>
      <c r="BZ4" s="62" t="s">
        <v>267</v>
      </c>
      <c r="CA4" s="62"/>
      <c r="CB4" s="62"/>
      <c r="CC4" s="62" t="s">
        <v>267</v>
      </c>
      <c r="CD4" s="62"/>
      <c r="CE4" s="62"/>
      <c r="CF4" s="62"/>
      <c r="CG4" s="62"/>
      <c r="CH4" s="62"/>
      <c r="CI4" s="62"/>
      <c r="CJ4" s="62"/>
      <c r="CK4" s="62"/>
      <c r="CL4" s="62"/>
      <c r="CM4" s="62"/>
      <c r="CN4" s="62" t="s">
        <v>267</v>
      </c>
      <c r="CO4" s="62"/>
      <c r="CP4" s="62"/>
      <c r="CQ4" s="62"/>
      <c r="CR4" s="62"/>
      <c r="CS4" s="62"/>
      <c r="CT4" s="62"/>
      <c r="CU4" s="62"/>
      <c r="CV4" s="62"/>
      <c r="CW4" s="62"/>
      <c r="CX4" s="62"/>
      <c r="CY4" s="62" t="s">
        <v>267</v>
      </c>
      <c r="CZ4" s="62"/>
      <c r="DA4" s="62"/>
      <c r="DB4" s="62" t="s">
        <v>267</v>
      </c>
      <c r="DC4" s="62"/>
      <c r="DD4" s="62"/>
      <c r="DE4" s="62"/>
      <c r="DF4" s="62"/>
      <c r="DG4" s="62"/>
      <c r="DH4" s="62"/>
      <c r="DI4" s="62"/>
      <c r="DJ4" s="62"/>
      <c r="DK4" s="62"/>
      <c r="DL4" s="62"/>
      <c r="DM4" s="62"/>
      <c r="DN4" s="62" t="s">
        <v>267</v>
      </c>
      <c r="DO4" s="62"/>
      <c r="DP4" s="62" t="s">
        <v>121</v>
      </c>
      <c r="DQ4" s="62"/>
      <c r="DR4" s="62"/>
      <c r="DS4" s="62"/>
      <c r="DT4" s="62"/>
      <c r="DU4" s="62"/>
      <c r="DV4" s="62"/>
      <c r="DW4" s="62" t="s">
        <v>275</v>
      </c>
      <c r="DX4" s="62" t="s">
        <v>274</v>
      </c>
      <c r="DY4" s="62" t="s">
        <v>275</v>
      </c>
      <c r="DZ4" s="62" t="s">
        <v>275</v>
      </c>
      <c r="EA4" s="62" t="s">
        <v>275</v>
      </c>
      <c r="EB4" s="65" t="s">
        <v>276</v>
      </c>
      <c r="EC4" s="62" t="s">
        <v>275</v>
      </c>
      <c r="ED4" s="56"/>
      <c r="EE4" s="56" t="s">
        <v>83</v>
      </c>
      <c r="EF4" s="56"/>
      <c r="EG4" s="58" t="s">
        <v>277</v>
      </c>
      <c r="EH4" s="58"/>
      <c r="EI4" s="86"/>
      <c r="EJ4" s="86"/>
    </row>
    <row r="5" spans="1:140" ht="145.19999999999999" outlineLevel="1" x14ac:dyDescent="0.25">
      <c r="A5" s="91"/>
      <c r="B5" s="125" t="s">
        <v>559</v>
      </c>
      <c r="C5" s="56" t="s">
        <v>361</v>
      </c>
      <c r="D5" s="56" t="s">
        <v>171</v>
      </c>
      <c r="E5" s="56" t="s">
        <v>282</v>
      </c>
      <c r="F5" s="57" t="s">
        <v>279</v>
      </c>
      <c r="G5" s="57" t="s">
        <v>668</v>
      </c>
      <c r="H5" s="58"/>
      <c r="I5" s="57" t="s">
        <v>199</v>
      </c>
      <c r="J5" s="57" t="s">
        <v>199</v>
      </c>
      <c r="K5" s="57" t="s">
        <v>448</v>
      </c>
      <c r="L5" s="62" t="s">
        <v>266</v>
      </c>
      <c r="M5" s="57" t="s">
        <v>267</v>
      </c>
      <c r="N5" s="57" t="s">
        <v>267</v>
      </c>
      <c r="O5" s="57" t="s">
        <v>361</v>
      </c>
      <c r="P5" s="57" t="s">
        <v>388</v>
      </c>
      <c r="Q5" s="57" t="s">
        <v>268</v>
      </c>
      <c r="R5" s="57" t="s">
        <v>268</v>
      </c>
      <c r="S5" s="57" t="s">
        <v>271</v>
      </c>
      <c r="T5" s="57" t="s">
        <v>269</v>
      </c>
      <c r="U5" s="57" t="s">
        <v>268</v>
      </c>
      <c r="V5" s="57" t="s">
        <v>268</v>
      </c>
      <c r="W5" s="57" t="s">
        <v>268</v>
      </c>
      <c r="X5" s="58" t="s">
        <v>280</v>
      </c>
      <c r="Y5" s="59" t="s">
        <v>271</v>
      </c>
      <c r="Z5" s="59" t="s">
        <v>271</v>
      </c>
      <c r="AA5" s="57" t="s">
        <v>268</v>
      </c>
      <c r="AB5" s="59" t="s">
        <v>268</v>
      </c>
      <c r="AC5" s="59"/>
      <c r="AD5" s="59" t="s">
        <v>274</v>
      </c>
      <c r="AE5" s="57" t="s">
        <v>199</v>
      </c>
      <c r="AF5" s="58" t="s">
        <v>283</v>
      </c>
      <c r="AG5" s="57" t="s">
        <v>267</v>
      </c>
      <c r="AH5" s="57"/>
      <c r="AI5" s="57" t="s">
        <v>267</v>
      </c>
      <c r="AJ5" s="57" t="s">
        <v>267</v>
      </c>
      <c r="AK5" s="57"/>
      <c r="AL5" s="57" t="s">
        <v>267</v>
      </c>
      <c r="AM5" s="57" t="s">
        <v>267</v>
      </c>
      <c r="AN5" s="57" t="s">
        <v>267</v>
      </c>
      <c r="AO5" s="57" t="s">
        <v>267</v>
      </c>
      <c r="AP5" s="57" t="s">
        <v>83</v>
      </c>
      <c r="AQ5" s="57"/>
      <c r="AR5" s="57"/>
      <c r="AS5" s="57"/>
      <c r="AT5" s="57" t="s">
        <v>267</v>
      </c>
      <c r="AU5" s="57"/>
      <c r="AV5" s="57"/>
      <c r="AW5" s="57"/>
      <c r="AX5" s="57"/>
      <c r="AY5" s="57"/>
      <c r="AZ5" s="57"/>
      <c r="BA5" s="57"/>
      <c r="BB5" s="57" t="s">
        <v>267</v>
      </c>
      <c r="BC5" s="57"/>
      <c r="BD5" s="57"/>
      <c r="BE5" s="57"/>
      <c r="BF5" s="57"/>
      <c r="BG5" s="57"/>
      <c r="BH5" s="57"/>
      <c r="BI5" s="57"/>
      <c r="BJ5" s="57" t="s">
        <v>267</v>
      </c>
      <c r="BK5" s="57"/>
      <c r="BL5" s="57" t="s">
        <v>267</v>
      </c>
      <c r="BM5" s="57"/>
      <c r="BN5" s="57"/>
      <c r="BO5" s="57" t="s">
        <v>267</v>
      </c>
      <c r="BP5" s="57"/>
      <c r="BQ5" s="57"/>
      <c r="BR5" s="57"/>
      <c r="BS5" s="57"/>
      <c r="BT5" s="57"/>
      <c r="BU5" s="57"/>
      <c r="BV5" s="57"/>
      <c r="BW5" s="57" t="s">
        <v>267</v>
      </c>
      <c r="BX5" s="57"/>
      <c r="BY5" s="57"/>
      <c r="BZ5" s="57" t="s">
        <v>267</v>
      </c>
      <c r="CA5" s="57"/>
      <c r="CB5" s="57"/>
      <c r="CC5" s="57" t="s">
        <v>267</v>
      </c>
      <c r="CD5" s="57"/>
      <c r="CE5" s="57" t="s">
        <v>267</v>
      </c>
      <c r="CF5" s="57"/>
      <c r="CG5" s="57"/>
      <c r="CH5" s="57"/>
      <c r="CI5" s="57"/>
      <c r="CJ5" s="57"/>
      <c r="CK5" s="57" t="s">
        <v>267</v>
      </c>
      <c r="CL5" s="57"/>
      <c r="CM5" s="57"/>
      <c r="CN5" s="57" t="s">
        <v>267</v>
      </c>
      <c r="CO5" s="57"/>
      <c r="CP5" s="57"/>
      <c r="CQ5" s="57"/>
      <c r="CR5" s="57"/>
      <c r="CS5" s="57"/>
      <c r="CT5" s="57"/>
      <c r="CU5" s="57"/>
      <c r="CV5" s="57" t="s">
        <v>267</v>
      </c>
      <c r="CW5" s="57"/>
      <c r="CX5" s="57"/>
      <c r="CY5" s="57" t="s">
        <v>267</v>
      </c>
      <c r="CZ5" s="57"/>
      <c r="DA5" s="57"/>
      <c r="DB5" s="57" t="s">
        <v>267</v>
      </c>
      <c r="DC5" s="57"/>
      <c r="DD5" s="57" t="s">
        <v>267</v>
      </c>
      <c r="DE5" s="57"/>
      <c r="DF5" s="57"/>
      <c r="DG5" s="57"/>
      <c r="DH5" s="57"/>
      <c r="DI5" s="57"/>
      <c r="DJ5" s="57"/>
      <c r="DK5" s="57"/>
      <c r="DL5" s="57"/>
      <c r="DM5" s="57"/>
      <c r="DN5" s="57" t="s">
        <v>267</v>
      </c>
      <c r="DO5" s="57"/>
      <c r="DP5" s="57" t="s">
        <v>121</v>
      </c>
      <c r="DQ5" s="62"/>
      <c r="DR5" s="62"/>
      <c r="DS5" s="62"/>
      <c r="DT5" s="62"/>
      <c r="DU5" s="62"/>
      <c r="DV5" s="62"/>
      <c r="DW5" s="62" t="s">
        <v>275</v>
      </c>
      <c r="DX5" s="62" t="s">
        <v>274</v>
      </c>
      <c r="DY5" s="62" t="s">
        <v>275</v>
      </c>
      <c r="DZ5" s="62" t="s">
        <v>275</v>
      </c>
      <c r="EA5" s="57" t="s">
        <v>275</v>
      </c>
      <c r="EB5" s="65" t="s">
        <v>362</v>
      </c>
      <c r="EC5" s="57" t="s">
        <v>275</v>
      </c>
      <c r="ED5" s="56" t="s">
        <v>476</v>
      </c>
      <c r="EE5" s="56"/>
      <c r="EF5" s="56"/>
      <c r="EG5" s="56" t="s">
        <v>671</v>
      </c>
      <c r="EH5" s="58"/>
      <c r="EI5" s="86"/>
      <c r="EJ5" s="86"/>
    </row>
    <row r="6" spans="1:140" ht="66" x14ac:dyDescent="0.25">
      <c r="A6" s="91"/>
      <c r="B6" s="125" t="s">
        <v>559</v>
      </c>
      <c r="C6" s="56" t="s">
        <v>361</v>
      </c>
      <c r="D6" s="56" t="s">
        <v>173</v>
      </c>
      <c r="E6" s="56" t="s">
        <v>288</v>
      </c>
      <c r="F6" s="57" t="s">
        <v>279</v>
      </c>
      <c r="G6" s="57" t="s">
        <v>668</v>
      </c>
      <c r="H6" s="58"/>
      <c r="I6" s="57" t="s">
        <v>196</v>
      </c>
      <c r="J6" s="57" t="s">
        <v>196</v>
      </c>
      <c r="K6" s="57" t="s">
        <v>196</v>
      </c>
      <c r="L6" s="57" t="s">
        <v>289</v>
      </c>
      <c r="M6" s="57"/>
      <c r="N6" s="57" t="s">
        <v>267</v>
      </c>
      <c r="O6" s="57"/>
      <c r="P6" s="57"/>
      <c r="Q6" s="57" t="s">
        <v>271</v>
      </c>
      <c r="R6" s="57" t="s">
        <v>271</v>
      </c>
      <c r="S6" s="57" t="s">
        <v>271</v>
      </c>
      <c r="T6" s="57" t="s">
        <v>269</v>
      </c>
      <c r="U6" s="57" t="s">
        <v>269</v>
      </c>
      <c r="V6" s="57" t="s">
        <v>268</v>
      </c>
      <c r="W6" s="57" t="s">
        <v>268</v>
      </c>
      <c r="X6" s="58" t="s">
        <v>290</v>
      </c>
      <c r="Y6" s="59" t="s">
        <v>269</v>
      </c>
      <c r="Z6" s="59" t="s">
        <v>269</v>
      </c>
      <c r="AA6" s="57" t="s">
        <v>271</v>
      </c>
      <c r="AB6" s="59" t="s">
        <v>271</v>
      </c>
      <c r="AC6" s="59"/>
      <c r="AD6" s="59" t="s">
        <v>275</v>
      </c>
      <c r="AE6" s="57"/>
      <c r="AF6" s="58" t="s">
        <v>291</v>
      </c>
      <c r="AG6" s="57" t="s">
        <v>267</v>
      </c>
      <c r="AH6" s="57"/>
      <c r="AI6" s="57" t="s">
        <v>267</v>
      </c>
      <c r="AJ6" s="57" t="s">
        <v>267</v>
      </c>
      <c r="AK6" s="57"/>
      <c r="AL6" s="57" t="s">
        <v>267</v>
      </c>
      <c r="AM6" s="57" t="s">
        <v>267</v>
      </c>
      <c r="AN6" s="57" t="s">
        <v>267</v>
      </c>
      <c r="AO6" s="57" t="s">
        <v>267</v>
      </c>
      <c r="AP6" s="57"/>
      <c r="AQ6" s="57"/>
      <c r="AR6" s="57"/>
      <c r="AS6" s="57"/>
      <c r="AT6" s="57" t="s">
        <v>267</v>
      </c>
      <c r="AU6" s="57"/>
      <c r="AV6" s="57"/>
      <c r="AW6" s="57"/>
      <c r="AX6" s="57"/>
      <c r="AY6" s="57" t="s">
        <v>267</v>
      </c>
      <c r="AZ6" s="57"/>
      <c r="BA6" s="57"/>
      <c r="BB6" s="57" t="s">
        <v>267</v>
      </c>
      <c r="BC6" s="57"/>
      <c r="BD6" s="57"/>
      <c r="BE6" s="57"/>
      <c r="BF6" s="57"/>
      <c r="BG6" s="57"/>
      <c r="BH6" s="57"/>
      <c r="BI6" s="57"/>
      <c r="BJ6" s="57"/>
      <c r="BK6" s="57"/>
      <c r="BL6" s="57"/>
      <c r="BM6" s="57"/>
      <c r="BN6" s="57"/>
      <c r="BO6" s="57" t="s">
        <v>267</v>
      </c>
      <c r="BP6" s="57"/>
      <c r="BQ6" s="57"/>
      <c r="BR6" s="57"/>
      <c r="BS6" s="57"/>
      <c r="BT6" s="57"/>
      <c r="BU6" s="57"/>
      <c r="BV6" s="57"/>
      <c r="BW6" s="57"/>
      <c r="BX6" s="57"/>
      <c r="BY6" s="57"/>
      <c r="BZ6" s="57" t="s">
        <v>267</v>
      </c>
      <c r="CA6" s="57"/>
      <c r="CB6" s="57"/>
      <c r="CC6" s="57"/>
      <c r="CD6" s="57"/>
      <c r="CE6" s="57"/>
      <c r="CF6" s="57"/>
      <c r="CG6" s="57"/>
      <c r="CH6" s="57"/>
      <c r="CI6" s="57"/>
      <c r="CJ6" s="57"/>
      <c r="CK6" s="57"/>
      <c r="CL6" s="57"/>
      <c r="CM6" s="57"/>
      <c r="CN6" s="57" t="s">
        <v>267</v>
      </c>
      <c r="CO6" s="57"/>
      <c r="CP6" s="57"/>
      <c r="CQ6" s="57"/>
      <c r="CR6" s="57"/>
      <c r="CS6" s="57"/>
      <c r="CT6" s="57"/>
      <c r="CU6" s="57"/>
      <c r="CV6" s="57"/>
      <c r="CW6" s="57"/>
      <c r="CX6" s="57"/>
      <c r="CY6" s="57" t="s">
        <v>267</v>
      </c>
      <c r="CZ6" s="57"/>
      <c r="DA6" s="57"/>
      <c r="DB6" s="57"/>
      <c r="DC6" s="57"/>
      <c r="DD6" s="57"/>
      <c r="DE6" s="57"/>
      <c r="DF6" s="57"/>
      <c r="DG6" s="57"/>
      <c r="DH6" s="57"/>
      <c r="DI6" s="57"/>
      <c r="DJ6" s="57"/>
      <c r="DK6" s="57"/>
      <c r="DL6" s="57"/>
      <c r="DM6" s="57"/>
      <c r="DN6" s="57" t="s">
        <v>267</v>
      </c>
      <c r="DO6" s="57"/>
      <c r="DP6" s="57" t="s">
        <v>292</v>
      </c>
      <c r="DQ6" s="62"/>
      <c r="DR6" s="62"/>
      <c r="DS6" s="62"/>
      <c r="DT6" s="62"/>
      <c r="DU6" s="62"/>
      <c r="DV6" s="62"/>
      <c r="DW6" s="62" t="s">
        <v>275</v>
      </c>
      <c r="DX6" s="62" t="s">
        <v>275</v>
      </c>
      <c r="DY6" s="62" t="s">
        <v>275</v>
      </c>
      <c r="DZ6" s="62" t="s">
        <v>275</v>
      </c>
      <c r="EA6" s="57" t="s">
        <v>274</v>
      </c>
      <c r="EB6" s="56" t="s">
        <v>673</v>
      </c>
      <c r="EC6" s="57" t="s">
        <v>672</v>
      </c>
      <c r="ED6" s="56"/>
      <c r="EE6" s="56" t="s">
        <v>293</v>
      </c>
      <c r="EF6" s="56"/>
      <c r="EG6" s="56"/>
      <c r="EH6" s="58"/>
      <c r="EI6" s="86"/>
      <c r="EJ6" s="86"/>
    </row>
    <row r="7" spans="1:140" ht="39.6" x14ac:dyDescent="0.25">
      <c r="A7" s="91"/>
      <c r="B7" s="125" t="s">
        <v>559</v>
      </c>
      <c r="C7" s="56" t="s">
        <v>361</v>
      </c>
      <c r="D7" s="56" t="s">
        <v>172</v>
      </c>
      <c r="E7" s="56" t="s">
        <v>284</v>
      </c>
      <c r="F7" s="57" t="s">
        <v>265</v>
      </c>
      <c r="G7" s="57" t="s">
        <v>668</v>
      </c>
      <c r="H7" s="58"/>
      <c r="I7" s="57" t="s">
        <v>196</v>
      </c>
      <c r="J7" s="57" t="s">
        <v>196</v>
      </c>
      <c r="K7" s="57" t="s">
        <v>196</v>
      </c>
      <c r="L7" s="57" t="s">
        <v>285</v>
      </c>
      <c r="M7" s="57"/>
      <c r="N7" s="57" t="s">
        <v>267</v>
      </c>
      <c r="O7" s="57"/>
      <c r="P7" s="57"/>
      <c r="Q7" s="57" t="s">
        <v>271</v>
      </c>
      <c r="R7" s="57" t="s">
        <v>268</v>
      </c>
      <c r="S7" s="57" t="s">
        <v>269</v>
      </c>
      <c r="T7" s="57" t="s">
        <v>269</v>
      </c>
      <c r="U7" s="57" t="s">
        <v>271</v>
      </c>
      <c r="V7" s="57" t="s">
        <v>268</v>
      </c>
      <c r="W7" s="57" t="s">
        <v>269</v>
      </c>
      <c r="X7" s="58" t="s">
        <v>286</v>
      </c>
      <c r="Y7" s="59" t="s">
        <v>269</v>
      </c>
      <c r="Z7" s="59" t="s">
        <v>269</v>
      </c>
      <c r="AA7" s="57" t="s">
        <v>269</v>
      </c>
      <c r="AB7" s="59" t="s">
        <v>269</v>
      </c>
      <c r="AC7" s="59"/>
      <c r="AD7" s="59" t="s">
        <v>274</v>
      </c>
      <c r="AE7" s="57" t="s">
        <v>196</v>
      </c>
      <c r="AF7" s="58" t="s">
        <v>285</v>
      </c>
      <c r="AG7" s="57" t="s">
        <v>267</v>
      </c>
      <c r="AH7" s="57" t="s">
        <v>267</v>
      </c>
      <c r="AI7" s="57"/>
      <c r="AJ7" s="57"/>
      <c r="AK7" s="57"/>
      <c r="AL7" s="57" t="s">
        <v>267</v>
      </c>
      <c r="AM7" s="57" t="s">
        <v>267</v>
      </c>
      <c r="AN7" s="57" t="s">
        <v>267</v>
      </c>
      <c r="AO7" s="57" t="s">
        <v>267</v>
      </c>
      <c r="AP7" s="57"/>
      <c r="AQ7" s="57"/>
      <c r="AR7" s="57"/>
      <c r="AS7" s="57"/>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57"/>
      <c r="BT7" s="57"/>
      <c r="BU7" s="57"/>
      <c r="BV7" s="57"/>
      <c r="BW7" s="57"/>
      <c r="BX7" s="57"/>
      <c r="BY7" s="57"/>
      <c r="BZ7" s="57"/>
      <c r="CA7" s="57"/>
      <c r="CB7" s="57"/>
      <c r="CC7" s="57"/>
      <c r="CD7" s="57"/>
      <c r="CE7" s="57"/>
      <c r="CF7" s="57"/>
      <c r="CG7" s="57"/>
      <c r="CH7" s="57"/>
      <c r="CI7" s="57"/>
      <c r="CJ7" s="57"/>
      <c r="CK7" s="57"/>
      <c r="CL7" s="57"/>
      <c r="CM7" s="57"/>
      <c r="CN7" s="57"/>
      <c r="CO7" s="57"/>
      <c r="CP7" s="57"/>
      <c r="CQ7" s="57"/>
      <c r="CR7" s="57"/>
      <c r="CS7" s="57"/>
      <c r="CT7" s="57"/>
      <c r="CU7" s="57"/>
      <c r="CV7" s="57"/>
      <c r="CW7" s="57"/>
      <c r="CX7" s="57"/>
      <c r="CY7" s="57"/>
      <c r="CZ7" s="57"/>
      <c r="DA7" s="57"/>
      <c r="DB7" s="57"/>
      <c r="DC7" s="57"/>
      <c r="DD7" s="57"/>
      <c r="DE7" s="57"/>
      <c r="DF7" s="57"/>
      <c r="DG7" s="57"/>
      <c r="DH7" s="57"/>
      <c r="DI7" s="57"/>
      <c r="DJ7" s="57"/>
      <c r="DK7" s="57"/>
      <c r="DL7" s="57"/>
      <c r="DM7" s="57"/>
      <c r="DN7" s="57"/>
      <c r="DO7" s="57"/>
      <c r="DP7" s="57" t="s">
        <v>121</v>
      </c>
      <c r="DQ7" s="62"/>
      <c r="DR7" s="62"/>
      <c r="DS7" s="62"/>
      <c r="DT7" s="62"/>
      <c r="DU7" s="62"/>
      <c r="DV7" s="62"/>
      <c r="DW7" s="62" t="s">
        <v>275</v>
      </c>
      <c r="DX7" s="62" t="s">
        <v>274</v>
      </c>
      <c r="DY7" s="62" t="s">
        <v>275</v>
      </c>
      <c r="DZ7" s="62" t="s">
        <v>275</v>
      </c>
      <c r="EA7" s="57" t="s">
        <v>275</v>
      </c>
      <c r="EB7" s="56" t="s">
        <v>287</v>
      </c>
      <c r="EC7" s="57" t="s">
        <v>275</v>
      </c>
      <c r="ED7" s="56"/>
      <c r="EE7" s="56"/>
      <c r="EF7" s="56"/>
      <c r="EG7" s="56"/>
      <c r="EH7" s="58"/>
      <c r="EI7" s="86"/>
      <c r="EJ7" s="86"/>
    </row>
    <row r="8" spans="1:140" ht="39.6" outlineLevel="1" x14ac:dyDescent="0.25">
      <c r="A8" s="91"/>
      <c r="B8" s="126" t="s">
        <v>661</v>
      </c>
      <c r="C8" s="56" t="s">
        <v>661</v>
      </c>
      <c r="D8" s="56" t="s">
        <v>458</v>
      </c>
      <c r="E8" s="56" t="s">
        <v>306</v>
      </c>
      <c r="F8" s="57" t="s">
        <v>279</v>
      </c>
      <c r="G8" s="57" t="s">
        <v>668</v>
      </c>
      <c r="H8" s="58"/>
      <c r="I8" s="57" t="s">
        <v>203</v>
      </c>
      <c r="J8" s="57" t="s">
        <v>203</v>
      </c>
      <c r="K8" s="57" t="s">
        <v>307</v>
      </c>
      <c r="L8" s="57" t="s">
        <v>308</v>
      </c>
      <c r="M8" s="57" t="s">
        <v>83</v>
      </c>
      <c r="N8" s="57" t="s">
        <v>267</v>
      </c>
      <c r="O8" s="57"/>
      <c r="P8" s="57"/>
      <c r="Q8" s="57" t="s">
        <v>268</v>
      </c>
      <c r="R8" s="57" t="s">
        <v>268</v>
      </c>
      <c r="S8" s="57" t="s">
        <v>269</v>
      </c>
      <c r="T8" s="57" t="s">
        <v>269</v>
      </c>
      <c r="U8" s="57" t="s">
        <v>268</v>
      </c>
      <c r="V8" s="57" t="s">
        <v>268</v>
      </c>
      <c r="W8" s="57" t="s">
        <v>268</v>
      </c>
      <c r="X8" s="58" t="s">
        <v>280</v>
      </c>
      <c r="Y8" s="59" t="s">
        <v>271</v>
      </c>
      <c r="Z8" s="59" t="s">
        <v>271</v>
      </c>
      <c r="AA8" s="57" t="s">
        <v>269</v>
      </c>
      <c r="AB8" s="59" t="s">
        <v>269</v>
      </c>
      <c r="AC8" s="59"/>
      <c r="AD8" s="59" t="s">
        <v>274</v>
      </c>
      <c r="AE8" s="57" t="s">
        <v>203</v>
      </c>
      <c r="AF8" s="58" t="s">
        <v>309</v>
      </c>
      <c r="AG8" s="57" t="s">
        <v>267</v>
      </c>
      <c r="AH8" s="57"/>
      <c r="AI8" s="57" t="s">
        <v>267</v>
      </c>
      <c r="AJ8" s="57" t="s">
        <v>267</v>
      </c>
      <c r="AK8" s="57"/>
      <c r="AL8" s="57" t="s">
        <v>267</v>
      </c>
      <c r="AM8" s="57" t="s">
        <v>267</v>
      </c>
      <c r="AN8" s="57" t="s">
        <v>267</v>
      </c>
      <c r="AO8" s="57" t="s">
        <v>267</v>
      </c>
      <c r="AP8" s="57"/>
      <c r="AQ8" s="57"/>
      <c r="AR8" s="57"/>
      <c r="AS8" s="57"/>
      <c r="AT8" s="57" t="s">
        <v>267</v>
      </c>
      <c r="AU8" s="57" t="s">
        <v>267</v>
      </c>
      <c r="AV8" s="57"/>
      <c r="AW8" s="57"/>
      <c r="AX8" s="57"/>
      <c r="AY8" s="57"/>
      <c r="AZ8" s="57"/>
      <c r="BA8" s="57"/>
      <c r="BB8" s="57" t="s">
        <v>267</v>
      </c>
      <c r="BC8" s="57" t="s">
        <v>267</v>
      </c>
      <c r="BD8" s="57"/>
      <c r="BE8" s="57"/>
      <c r="BF8" s="57"/>
      <c r="BG8" s="57" t="s">
        <v>267</v>
      </c>
      <c r="BH8" s="57"/>
      <c r="BI8" s="57"/>
      <c r="BJ8" s="57"/>
      <c r="BK8" s="57"/>
      <c r="BL8" s="57"/>
      <c r="BM8" s="57"/>
      <c r="BN8" s="57"/>
      <c r="BO8" s="57" t="s">
        <v>267</v>
      </c>
      <c r="BP8" s="57"/>
      <c r="BQ8" s="57"/>
      <c r="BR8" s="57"/>
      <c r="BS8" s="57"/>
      <c r="BT8" s="57"/>
      <c r="BU8" s="57"/>
      <c r="BV8" s="57"/>
      <c r="BW8" s="57"/>
      <c r="BX8" s="57"/>
      <c r="BY8" s="57"/>
      <c r="BZ8" s="57" t="s">
        <v>267</v>
      </c>
      <c r="CA8" s="57"/>
      <c r="CB8" s="57"/>
      <c r="CC8" s="57"/>
      <c r="CD8" s="57"/>
      <c r="CE8" s="57"/>
      <c r="CF8" s="57"/>
      <c r="CG8" s="57"/>
      <c r="CH8" s="57"/>
      <c r="CI8" s="57"/>
      <c r="CJ8" s="57"/>
      <c r="CK8" s="57"/>
      <c r="CL8" s="57"/>
      <c r="CM8" s="57"/>
      <c r="CN8" s="57" t="s">
        <v>267</v>
      </c>
      <c r="CO8" s="57"/>
      <c r="CP8" s="57"/>
      <c r="CQ8" s="57"/>
      <c r="CR8" s="57"/>
      <c r="CS8" s="57"/>
      <c r="CT8" s="57"/>
      <c r="CU8" s="57"/>
      <c r="CV8" s="57"/>
      <c r="CW8" s="57"/>
      <c r="CX8" s="57"/>
      <c r="CY8" s="57" t="s">
        <v>267</v>
      </c>
      <c r="CZ8" s="57"/>
      <c r="DA8" s="57"/>
      <c r="DB8" s="57"/>
      <c r="DC8" s="57"/>
      <c r="DD8" s="57"/>
      <c r="DE8" s="57"/>
      <c r="DF8" s="57"/>
      <c r="DG8" s="57"/>
      <c r="DH8" s="57"/>
      <c r="DI8" s="57"/>
      <c r="DJ8" s="57"/>
      <c r="DK8" s="57"/>
      <c r="DL8" s="57"/>
      <c r="DM8" s="57"/>
      <c r="DN8" s="57" t="s">
        <v>267</v>
      </c>
      <c r="DO8" s="57"/>
      <c r="DP8" s="57" t="s">
        <v>121</v>
      </c>
      <c r="DQ8" s="62"/>
      <c r="DR8" s="62"/>
      <c r="DS8" s="62"/>
      <c r="DT8" s="62"/>
      <c r="DU8" s="62"/>
      <c r="DV8" s="62"/>
      <c r="DW8" s="62" t="s">
        <v>274</v>
      </c>
      <c r="DX8" s="62" t="s">
        <v>274</v>
      </c>
      <c r="DY8" s="62" t="s">
        <v>274</v>
      </c>
      <c r="DZ8" s="62" t="s">
        <v>274</v>
      </c>
      <c r="EA8" s="57" t="s">
        <v>274</v>
      </c>
      <c r="EB8" s="56" t="s">
        <v>362</v>
      </c>
      <c r="EC8" s="57" t="s">
        <v>275</v>
      </c>
      <c r="ED8" s="56"/>
      <c r="EE8" s="56"/>
      <c r="EF8" s="56"/>
      <c r="EG8" s="56"/>
      <c r="EH8" s="58"/>
      <c r="EI8" s="86"/>
      <c r="EJ8" s="86"/>
    </row>
    <row r="9" spans="1:140" ht="26.4" outlineLevel="1" x14ac:dyDescent="0.25">
      <c r="A9" s="91"/>
      <c r="B9" s="126" t="s">
        <v>661</v>
      </c>
      <c r="C9" s="56" t="s">
        <v>661</v>
      </c>
      <c r="D9" s="56" t="s">
        <v>696</v>
      </c>
      <c r="E9" s="56"/>
      <c r="F9" s="57" t="s">
        <v>265</v>
      </c>
      <c r="G9" s="57" t="s">
        <v>623</v>
      </c>
      <c r="H9" s="58"/>
      <c r="I9" s="57" t="s">
        <v>203</v>
      </c>
      <c r="J9" s="57" t="s">
        <v>203</v>
      </c>
      <c r="K9" s="57" t="s">
        <v>307</v>
      </c>
      <c r="L9" s="57"/>
      <c r="M9" s="57" t="s">
        <v>267</v>
      </c>
      <c r="N9" s="57" t="s">
        <v>267</v>
      </c>
      <c r="O9" s="57"/>
      <c r="P9" s="57"/>
      <c r="Q9" s="57" t="s">
        <v>268</v>
      </c>
      <c r="R9" s="57" t="s">
        <v>268</v>
      </c>
      <c r="S9" s="57" t="s">
        <v>269</v>
      </c>
      <c r="T9" s="57" t="s">
        <v>269</v>
      </c>
      <c r="U9" s="57" t="s">
        <v>268</v>
      </c>
      <c r="V9" s="57" t="s">
        <v>268</v>
      </c>
      <c r="W9" s="57" t="s">
        <v>268</v>
      </c>
      <c r="X9" s="58" t="s">
        <v>280</v>
      </c>
      <c r="Y9" s="59" t="s">
        <v>271</v>
      </c>
      <c r="Z9" s="59" t="s">
        <v>271</v>
      </c>
      <c r="AA9" s="57" t="s">
        <v>269</v>
      </c>
      <c r="AB9" s="59" t="s">
        <v>269</v>
      </c>
      <c r="AC9" s="59"/>
      <c r="AD9" s="59" t="s">
        <v>274</v>
      </c>
      <c r="AE9" s="57" t="s">
        <v>203</v>
      </c>
      <c r="AF9" s="58"/>
      <c r="AG9" s="57" t="s">
        <v>267</v>
      </c>
      <c r="AH9" s="57"/>
      <c r="AI9" s="57" t="s">
        <v>267</v>
      </c>
      <c r="AJ9" s="57" t="s">
        <v>267</v>
      </c>
      <c r="AK9" s="57"/>
      <c r="AL9" s="57" t="s">
        <v>267</v>
      </c>
      <c r="AM9" s="57" t="s">
        <v>267</v>
      </c>
      <c r="AN9" s="57" t="s">
        <v>267</v>
      </c>
      <c r="AO9" s="57" t="s">
        <v>267</v>
      </c>
      <c r="AP9" s="57"/>
      <c r="AQ9" s="57"/>
      <c r="AR9" s="57"/>
      <c r="AS9" s="57"/>
      <c r="AT9" s="57" t="s">
        <v>267</v>
      </c>
      <c r="AU9" s="57" t="s">
        <v>267</v>
      </c>
      <c r="AV9" s="57"/>
      <c r="AW9" s="57"/>
      <c r="AX9" s="57"/>
      <c r="AY9" s="57"/>
      <c r="AZ9" s="57"/>
      <c r="BA9" s="57"/>
      <c r="BB9" s="57" t="s">
        <v>267</v>
      </c>
      <c r="BC9" s="57" t="s">
        <v>267</v>
      </c>
      <c r="BD9" s="57"/>
      <c r="BE9" s="57"/>
      <c r="BF9" s="57"/>
      <c r="BG9" s="57" t="s">
        <v>267</v>
      </c>
      <c r="BH9" s="57"/>
      <c r="BI9" s="57"/>
      <c r="BJ9" s="57"/>
      <c r="BK9" s="57"/>
      <c r="BL9" s="57"/>
      <c r="BM9" s="57"/>
      <c r="BN9" s="57"/>
      <c r="BO9" s="57" t="s">
        <v>267</v>
      </c>
      <c r="BP9" s="57"/>
      <c r="BQ9" s="57"/>
      <c r="BR9" s="57"/>
      <c r="BS9" s="57"/>
      <c r="BT9" s="57"/>
      <c r="BU9" s="57"/>
      <c r="BV9" s="57"/>
      <c r="BW9" s="57"/>
      <c r="BX9" s="57"/>
      <c r="BY9" s="57"/>
      <c r="BZ9" s="57" t="s">
        <v>267</v>
      </c>
      <c r="CA9" s="57"/>
      <c r="CB9" s="57"/>
      <c r="CC9" s="57"/>
      <c r="CD9" s="57"/>
      <c r="CE9" s="57"/>
      <c r="CF9" s="57"/>
      <c r="CG9" s="57"/>
      <c r="CH9" s="57"/>
      <c r="CI9" s="57"/>
      <c r="CJ9" s="57"/>
      <c r="CK9" s="57"/>
      <c r="CL9" s="57"/>
      <c r="CM9" s="57"/>
      <c r="CN9" s="57" t="s">
        <v>267</v>
      </c>
      <c r="CO9" s="57"/>
      <c r="CP9" s="57"/>
      <c r="CQ9" s="57"/>
      <c r="CR9" s="57"/>
      <c r="CS9" s="57"/>
      <c r="CT9" s="57"/>
      <c r="CU9" s="57"/>
      <c r="CV9" s="57"/>
      <c r="CW9" s="57"/>
      <c r="CX9" s="57"/>
      <c r="CY9" s="57" t="s">
        <v>267</v>
      </c>
      <c r="CZ9" s="57"/>
      <c r="DA9" s="57"/>
      <c r="DB9" s="57"/>
      <c r="DC9" s="57"/>
      <c r="DD9" s="57"/>
      <c r="DE9" s="57"/>
      <c r="DF9" s="57"/>
      <c r="DG9" s="57"/>
      <c r="DH9" s="57"/>
      <c r="DI9" s="57"/>
      <c r="DJ9" s="57"/>
      <c r="DK9" s="57"/>
      <c r="DL9" s="57"/>
      <c r="DM9" s="57"/>
      <c r="DN9" s="57" t="s">
        <v>267</v>
      </c>
      <c r="DO9" s="57"/>
      <c r="DP9" s="57" t="s">
        <v>121</v>
      </c>
      <c r="DQ9" s="62"/>
      <c r="DR9" s="62"/>
      <c r="DS9" s="62"/>
      <c r="DT9" s="62"/>
      <c r="DU9" s="62"/>
      <c r="DV9" s="62"/>
      <c r="DW9" s="62" t="s">
        <v>274</v>
      </c>
      <c r="DX9" s="62" t="s">
        <v>274</v>
      </c>
      <c r="DY9" s="62" t="s">
        <v>274</v>
      </c>
      <c r="DZ9" s="62" t="s">
        <v>275</v>
      </c>
      <c r="EA9" s="57" t="s">
        <v>274</v>
      </c>
      <c r="EB9" s="56"/>
      <c r="EC9" s="57"/>
      <c r="ED9" s="56"/>
      <c r="EE9" s="56"/>
      <c r="EF9" s="56"/>
      <c r="EG9" s="56"/>
      <c r="EH9" s="58"/>
      <c r="EI9" s="86"/>
      <c r="EJ9" s="86"/>
    </row>
    <row r="10" spans="1:140" ht="39.6" outlineLevel="1" x14ac:dyDescent="0.25">
      <c r="A10" s="91"/>
      <c r="B10" s="126" t="s">
        <v>661</v>
      </c>
      <c r="C10" s="56" t="s">
        <v>661</v>
      </c>
      <c r="D10" s="56" t="s">
        <v>185</v>
      </c>
      <c r="E10" s="56" t="s">
        <v>331</v>
      </c>
      <c r="F10" s="57" t="s">
        <v>265</v>
      </c>
      <c r="G10" s="57" t="s">
        <v>623</v>
      </c>
      <c r="H10" s="58"/>
      <c r="I10" s="57" t="s">
        <v>196</v>
      </c>
      <c r="J10" s="57" t="s">
        <v>196</v>
      </c>
      <c r="K10" s="57" t="s">
        <v>448</v>
      </c>
      <c r="L10" s="57" t="s">
        <v>332</v>
      </c>
      <c r="M10" s="57" t="s">
        <v>267</v>
      </c>
      <c r="N10" s="57"/>
      <c r="O10" s="57" t="s">
        <v>665</v>
      </c>
      <c r="P10" s="57"/>
      <c r="Q10" s="57" t="s">
        <v>268</v>
      </c>
      <c r="R10" s="57" t="s">
        <v>268</v>
      </c>
      <c r="S10" s="57" t="s">
        <v>268</v>
      </c>
      <c r="T10" s="57" t="s">
        <v>272</v>
      </c>
      <c r="U10" s="57" t="s">
        <v>268</v>
      </c>
      <c r="V10" s="57" t="s">
        <v>268</v>
      </c>
      <c r="W10" s="57" t="s">
        <v>268</v>
      </c>
      <c r="X10" s="63" t="s">
        <v>270</v>
      </c>
      <c r="Y10" s="64" t="s">
        <v>268</v>
      </c>
      <c r="Z10" s="64" t="s">
        <v>268</v>
      </c>
      <c r="AA10" s="62" t="s">
        <v>272</v>
      </c>
      <c r="AB10" s="59" t="s">
        <v>272</v>
      </c>
      <c r="AC10" s="59"/>
      <c r="AD10" s="59" t="s">
        <v>274</v>
      </c>
      <c r="AE10" s="57" t="s">
        <v>196</v>
      </c>
      <c r="AF10" s="63" t="s">
        <v>464</v>
      </c>
      <c r="AG10" s="62"/>
      <c r="AH10" s="62"/>
      <c r="AI10" s="62" t="s">
        <v>267</v>
      </c>
      <c r="AJ10" s="62" t="s">
        <v>267</v>
      </c>
      <c r="AK10" s="62"/>
      <c r="AL10" s="62" t="s">
        <v>267</v>
      </c>
      <c r="AM10" s="62" t="s">
        <v>267</v>
      </c>
      <c r="AN10" s="62" t="s">
        <v>267</v>
      </c>
      <c r="AO10" s="62" t="s">
        <v>267</v>
      </c>
      <c r="AP10" s="62"/>
      <c r="AQ10" s="62"/>
      <c r="AR10" s="62"/>
      <c r="AS10" s="62"/>
      <c r="AT10" s="62"/>
      <c r="AU10" s="62"/>
      <c r="AV10" s="62"/>
      <c r="AW10" s="62"/>
      <c r="AX10" s="62"/>
      <c r="AY10" s="62"/>
      <c r="AZ10" s="62"/>
      <c r="BA10" s="62"/>
      <c r="BB10" s="62"/>
      <c r="BC10" s="62"/>
      <c r="BD10" s="62"/>
      <c r="BE10" s="62"/>
      <c r="BF10" s="62"/>
      <c r="BG10" s="62"/>
      <c r="BH10" s="62"/>
      <c r="BI10" s="62"/>
      <c r="BJ10" s="62"/>
      <c r="BK10" s="62"/>
      <c r="BL10" s="62"/>
      <c r="BM10" s="62"/>
      <c r="BN10" s="62"/>
      <c r="BO10" s="62" t="s">
        <v>267</v>
      </c>
      <c r="BP10" s="62"/>
      <c r="BQ10" s="62"/>
      <c r="BR10" s="62"/>
      <c r="BS10" s="62"/>
      <c r="BT10" s="62"/>
      <c r="BU10" s="62"/>
      <c r="BV10" s="62"/>
      <c r="BW10" s="62"/>
      <c r="BX10" s="62"/>
      <c r="BY10" s="62"/>
      <c r="BZ10" s="62" t="s">
        <v>267</v>
      </c>
      <c r="CA10" s="62"/>
      <c r="CB10" s="62"/>
      <c r="CC10" s="62"/>
      <c r="CD10" s="62"/>
      <c r="CE10" s="62"/>
      <c r="CF10" s="62"/>
      <c r="CG10" s="62"/>
      <c r="CH10" s="62"/>
      <c r="CI10" s="62"/>
      <c r="CJ10" s="62"/>
      <c r="CK10" s="62"/>
      <c r="CL10" s="62"/>
      <c r="CM10" s="62"/>
      <c r="CN10" s="62" t="s">
        <v>267</v>
      </c>
      <c r="CO10" s="62"/>
      <c r="CP10" s="62"/>
      <c r="CQ10" s="62"/>
      <c r="CR10" s="62"/>
      <c r="CS10" s="62"/>
      <c r="CT10" s="62"/>
      <c r="CU10" s="62"/>
      <c r="CV10" s="62"/>
      <c r="CW10" s="62"/>
      <c r="CX10" s="62"/>
      <c r="CY10" s="62" t="s">
        <v>267</v>
      </c>
      <c r="CZ10" s="62"/>
      <c r="DA10" s="62"/>
      <c r="DB10" s="62"/>
      <c r="DC10" s="62"/>
      <c r="DD10" s="62"/>
      <c r="DE10" s="62"/>
      <c r="DF10" s="62"/>
      <c r="DG10" s="62"/>
      <c r="DH10" s="62"/>
      <c r="DI10" s="62"/>
      <c r="DJ10" s="62"/>
      <c r="DK10" s="62"/>
      <c r="DL10" s="62"/>
      <c r="DM10" s="62"/>
      <c r="DN10" s="62" t="s">
        <v>267</v>
      </c>
      <c r="DO10" s="62"/>
      <c r="DP10" s="62" t="s">
        <v>121</v>
      </c>
      <c r="DQ10" s="62"/>
      <c r="DR10" s="62"/>
      <c r="DS10" s="62"/>
      <c r="DT10" s="62"/>
      <c r="DU10" s="62"/>
      <c r="DV10" s="62"/>
      <c r="DW10" s="62" t="s">
        <v>274</v>
      </c>
      <c r="DX10" s="62" t="s">
        <v>274</v>
      </c>
      <c r="DY10" s="62" t="s">
        <v>274</v>
      </c>
      <c r="DZ10" s="62" t="s">
        <v>275</v>
      </c>
      <c r="EA10" s="57" t="s">
        <v>274</v>
      </c>
      <c r="EB10" s="65" t="s">
        <v>83</v>
      </c>
      <c r="EC10" s="62"/>
      <c r="ED10" s="56"/>
      <c r="EE10" s="56"/>
      <c r="EF10" s="56"/>
      <c r="EG10" s="56"/>
      <c r="EH10" s="58"/>
      <c r="EI10" s="86"/>
      <c r="EJ10" s="86"/>
    </row>
    <row r="11" spans="1:140" ht="84" customHeight="1" outlineLevel="1" x14ac:dyDescent="0.25">
      <c r="A11" s="91"/>
      <c r="B11" s="126" t="s">
        <v>661</v>
      </c>
      <c r="C11" s="56" t="s">
        <v>661</v>
      </c>
      <c r="D11" s="56" t="s">
        <v>178</v>
      </c>
      <c r="E11" s="56" t="s">
        <v>344</v>
      </c>
      <c r="F11" s="57" t="s">
        <v>311</v>
      </c>
      <c r="G11" s="57" t="s">
        <v>623</v>
      </c>
      <c r="H11" s="58"/>
      <c r="I11" s="57" t="s">
        <v>198</v>
      </c>
      <c r="J11" s="57" t="s">
        <v>198</v>
      </c>
      <c r="K11" s="57" t="s">
        <v>448</v>
      </c>
      <c r="L11" s="57" t="s">
        <v>345</v>
      </c>
      <c r="M11" s="57"/>
      <c r="N11" s="57" t="s">
        <v>267</v>
      </c>
      <c r="O11" s="57"/>
      <c r="P11" s="57"/>
      <c r="Q11" s="57" t="s">
        <v>268</v>
      </c>
      <c r="R11" s="57" t="s">
        <v>268</v>
      </c>
      <c r="S11" s="57" t="s">
        <v>268</v>
      </c>
      <c r="T11" s="57" t="s">
        <v>272</v>
      </c>
      <c r="U11" s="57" t="s">
        <v>271</v>
      </c>
      <c r="V11" s="57" t="s">
        <v>268</v>
      </c>
      <c r="W11" s="57" t="s">
        <v>268</v>
      </c>
      <c r="X11" s="58" t="s">
        <v>280</v>
      </c>
      <c r="Y11" s="59" t="s">
        <v>272</v>
      </c>
      <c r="Z11" s="59" t="s">
        <v>272</v>
      </c>
      <c r="AA11" s="57" t="s">
        <v>268</v>
      </c>
      <c r="AB11" s="59" t="s">
        <v>269</v>
      </c>
      <c r="AC11" s="59"/>
      <c r="AD11" s="59" t="s">
        <v>274</v>
      </c>
      <c r="AE11" s="57" t="s">
        <v>198</v>
      </c>
      <c r="AF11" s="58" t="s">
        <v>462</v>
      </c>
      <c r="AG11" s="57" t="s">
        <v>267</v>
      </c>
      <c r="AH11" s="57"/>
      <c r="AI11" s="57" t="s">
        <v>267</v>
      </c>
      <c r="AJ11" s="57" t="s">
        <v>267</v>
      </c>
      <c r="AK11" s="57"/>
      <c r="AL11" s="57" t="s">
        <v>267</v>
      </c>
      <c r="AM11" s="57" t="s">
        <v>267</v>
      </c>
      <c r="AN11" s="57" t="s">
        <v>267</v>
      </c>
      <c r="AO11" s="57" t="s">
        <v>267</v>
      </c>
      <c r="AP11" s="57"/>
      <c r="AQ11" s="57"/>
      <c r="AR11" s="57"/>
      <c r="AS11" s="57"/>
      <c r="AT11" s="57"/>
      <c r="AU11" s="57"/>
      <c r="AV11" s="57"/>
      <c r="AW11" s="57"/>
      <c r="AX11" s="57"/>
      <c r="AY11" s="57"/>
      <c r="AZ11" s="57"/>
      <c r="BA11" s="57"/>
      <c r="BB11" s="57" t="s">
        <v>267</v>
      </c>
      <c r="BC11" s="57"/>
      <c r="BD11" s="57"/>
      <c r="BE11" s="57"/>
      <c r="BF11" s="57"/>
      <c r="BG11" s="57"/>
      <c r="BH11" s="57"/>
      <c r="BI11" s="57" t="s">
        <v>267</v>
      </c>
      <c r="BJ11" s="57"/>
      <c r="BK11" s="57"/>
      <c r="BL11" s="57"/>
      <c r="BM11" s="57"/>
      <c r="BN11" s="57"/>
      <c r="BO11" s="57" t="s">
        <v>267</v>
      </c>
      <c r="BP11" s="57"/>
      <c r="BQ11" s="57"/>
      <c r="BR11" s="57"/>
      <c r="BS11" s="57"/>
      <c r="BT11" s="57"/>
      <c r="BU11" s="57"/>
      <c r="BV11" s="57" t="s">
        <v>267</v>
      </c>
      <c r="BW11" s="57"/>
      <c r="BX11" s="57"/>
      <c r="BY11" s="57"/>
      <c r="BZ11" s="57" t="s">
        <v>267</v>
      </c>
      <c r="CA11" s="57"/>
      <c r="CB11" s="57"/>
      <c r="CC11" s="57"/>
      <c r="CD11" s="57"/>
      <c r="CE11" s="57"/>
      <c r="CF11" s="57"/>
      <c r="CG11" s="57"/>
      <c r="CH11" s="57"/>
      <c r="CI11" s="57"/>
      <c r="CJ11" s="57"/>
      <c r="CK11" s="57"/>
      <c r="CL11" s="57"/>
      <c r="CM11" s="57"/>
      <c r="CN11" s="57" t="s">
        <v>267</v>
      </c>
      <c r="CO11" s="57"/>
      <c r="CP11" s="57"/>
      <c r="CQ11" s="57"/>
      <c r="CR11" s="57"/>
      <c r="CS11" s="57"/>
      <c r="CT11" s="57"/>
      <c r="CU11" s="57" t="s">
        <v>267</v>
      </c>
      <c r="CV11" s="57"/>
      <c r="CW11" s="57"/>
      <c r="CX11" s="57"/>
      <c r="CY11" s="57" t="s">
        <v>267</v>
      </c>
      <c r="CZ11" s="57"/>
      <c r="DA11" s="57"/>
      <c r="DB11" s="57"/>
      <c r="DC11" s="57"/>
      <c r="DD11" s="57"/>
      <c r="DE11" s="57"/>
      <c r="DF11" s="57"/>
      <c r="DG11" s="57"/>
      <c r="DH11" s="57"/>
      <c r="DI11" s="57"/>
      <c r="DJ11" s="57"/>
      <c r="DK11" s="57"/>
      <c r="DL11" s="57"/>
      <c r="DM11" s="57"/>
      <c r="DN11" s="57" t="s">
        <v>267</v>
      </c>
      <c r="DO11" s="57"/>
      <c r="DP11" s="57" t="s">
        <v>121</v>
      </c>
      <c r="DQ11" s="62"/>
      <c r="DR11" s="62"/>
      <c r="DS11" s="62"/>
      <c r="DT11" s="62"/>
      <c r="DU11" s="62"/>
      <c r="DV11" s="62"/>
      <c r="DW11" s="62" t="s">
        <v>274</v>
      </c>
      <c r="DX11" s="62" t="s">
        <v>274</v>
      </c>
      <c r="DY11" s="62" t="s">
        <v>274</v>
      </c>
      <c r="DZ11" s="62" t="s">
        <v>275</v>
      </c>
      <c r="EA11" s="57" t="s">
        <v>274</v>
      </c>
      <c r="EB11" s="56" t="s">
        <v>438</v>
      </c>
      <c r="EC11" s="57" t="s">
        <v>275</v>
      </c>
      <c r="ED11" s="56"/>
      <c r="EE11" s="56"/>
      <c r="EF11" s="56"/>
      <c r="EG11" s="56"/>
      <c r="EH11" s="58"/>
      <c r="EI11" s="86"/>
      <c r="EJ11" s="86"/>
    </row>
    <row r="12" spans="1:140" ht="26.4" outlineLevel="1" x14ac:dyDescent="0.25">
      <c r="A12" s="91"/>
      <c r="B12" s="126" t="s">
        <v>661</v>
      </c>
      <c r="C12" s="56" t="s">
        <v>661</v>
      </c>
      <c r="D12" s="56" t="s">
        <v>179</v>
      </c>
      <c r="E12" s="56" t="s">
        <v>346</v>
      </c>
      <c r="F12" s="57" t="s">
        <v>279</v>
      </c>
      <c r="G12" s="57" t="s">
        <v>623</v>
      </c>
      <c r="H12" s="58"/>
      <c r="I12" s="57" t="s">
        <v>202</v>
      </c>
      <c r="J12" s="57" t="s">
        <v>202</v>
      </c>
      <c r="K12" s="57" t="s">
        <v>198</v>
      </c>
      <c r="L12" s="57" t="s">
        <v>347</v>
      </c>
      <c r="M12" s="57"/>
      <c r="N12" s="57" t="s">
        <v>267</v>
      </c>
      <c r="O12" s="57"/>
      <c r="P12" s="57"/>
      <c r="Q12" s="57" t="s">
        <v>269</v>
      </c>
      <c r="R12" s="57" t="s">
        <v>269</v>
      </c>
      <c r="S12" s="57" t="s">
        <v>271</v>
      </c>
      <c r="T12" s="57" t="s">
        <v>272</v>
      </c>
      <c r="U12" s="57" t="s">
        <v>269</v>
      </c>
      <c r="V12" s="57" t="s">
        <v>268</v>
      </c>
      <c r="W12" s="57" t="s">
        <v>271</v>
      </c>
      <c r="X12" s="58" t="s">
        <v>290</v>
      </c>
      <c r="Y12" s="59" t="s">
        <v>272</v>
      </c>
      <c r="Z12" s="59" t="s">
        <v>272</v>
      </c>
      <c r="AA12" s="57" t="s">
        <v>269</v>
      </c>
      <c r="AB12" s="59" t="s">
        <v>269</v>
      </c>
      <c r="AC12" s="59"/>
      <c r="AD12" s="59" t="s">
        <v>275</v>
      </c>
      <c r="AE12" s="57" t="s">
        <v>202</v>
      </c>
      <c r="AF12" s="58" t="s">
        <v>348</v>
      </c>
      <c r="AG12" s="57" t="s">
        <v>267</v>
      </c>
      <c r="AH12" s="57"/>
      <c r="AI12" s="57" t="s">
        <v>267</v>
      </c>
      <c r="AJ12" s="57" t="s">
        <v>267</v>
      </c>
      <c r="AK12" s="57"/>
      <c r="AL12" s="57" t="s">
        <v>267</v>
      </c>
      <c r="AM12" s="57" t="s">
        <v>267</v>
      </c>
      <c r="AN12" s="57" t="s">
        <v>267</v>
      </c>
      <c r="AO12" s="57" t="s">
        <v>267</v>
      </c>
      <c r="AP12" s="57"/>
      <c r="AQ12" s="57"/>
      <c r="AR12" s="57"/>
      <c r="AS12" s="57"/>
      <c r="AT12" s="57" t="s">
        <v>267</v>
      </c>
      <c r="AU12" s="57"/>
      <c r="AV12" s="57"/>
      <c r="AW12" s="57"/>
      <c r="AX12" s="57"/>
      <c r="AY12" s="57"/>
      <c r="AZ12" s="57"/>
      <c r="BA12" s="57"/>
      <c r="BB12" s="57" t="s">
        <v>267</v>
      </c>
      <c r="BC12" s="57"/>
      <c r="BD12" s="57"/>
      <c r="BE12" s="57"/>
      <c r="BF12" s="57"/>
      <c r="BG12" s="57"/>
      <c r="BH12" s="57"/>
      <c r="BI12" s="57" t="s">
        <v>267</v>
      </c>
      <c r="BJ12" s="57"/>
      <c r="BK12" s="57"/>
      <c r="BL12" s="57"/>
      <c r="BM12" s="57"/>
      <c r="BN12" s="57"/>
      <c r="BO12" s="57" t="s">
        <v>267</v>
      </c>
      <c r="BP12" s="57"/>
      <c r="BQ12" s="57"/>
      <c r="BR12" s="57"/>
      <c r="BS12" s="57"/>
      <c r="BT12" s="57"/>
      <c r="BU12" s="57"/>
      <c r="BV12" s="57" t="s">
        <v>267</v>
      </c>
      <c r="BW12" s="57"/>
      <c r="BX12" s="57"/>
      <c r="BY12" s="57"/>
      <c r="BZ12" s="57" t="s">
        <v>267</v>
      </c>
      <c r="CA12" s="57"/>
      <c r="CB12" s="57"/>
      <c r="CC12" s="57"/>
      <c r="CD12" s="57"/>
      <c r="CE12" s="57"/>
      <c r="CF12" s="57"/>
      <c r="CG12" s="57"/>
      <c r="CH12" s="57"/>
      <c r="CI12" s="57"/>
      <c r="CJ12" s="57"/>
      <c r="CK12" s="57"/>
      <c r="CL12" s="57"/>
      <c r="CM12" s="57"/>
      <c r="CN12" s="57" t="s">
        <v>267</v>
      </c>
      <c r="CO12" s="57"/>
      <c r="CP12" s="57"/>
      <c r="CQ12" s="57"/>
      <c r="CR12" s="57"/>
      <c r="CS12" s="57"/>
      <c r="CT12" s="57"/>
      <c r="CU12" s="57" t="s">
        <v>267</v>
      </c>
      <c r="CV12" s="57"/>
      <c r="CW12" s="57"/>
      <c r="CX12" s="57"/>
      <c r="CY12" s="57" t="s">
        <v>267</v>
      </c>
      <c r="CZ12" s="57"/>
      <c r="DA12" s="57"/>
      <c r="DB12" s="57"/>
      <c r="DC12" s="57"/>
      <c r="DD12" s="57"/>
      <c r="DE12" s="57"/>
      <c r="DF12" s="57"/>
      <c r="DG12" s="57"/>
      <c r="DH12" s="57"/>
      <c r="DI12" s="57"/>
      <c r="DJ12" s="57"/>
      <c r="DK12" s="57"/>
      <c r="DL12" s="57"/>
      <c r="DM12" s="57"/>
      <c r="DN12" s="57" t="s">
        <v>267</v>
      </c>
      <c r="DO12" s="57"/>
      <c r="DP12" s="57" t="s">
        <v>121</v>
      </c>
      <c r="DQ12" s="62"/>
      <c r="DR12" s="62"/>
      <c r="DS12" s="62"/>
      <c r="DT12" s="62"/>
      <c r="DU12" s="62"/>
      <c r="DV12" s="62"/>
      <c r="DW12" s="62" t="s">
        <v>274</v>
      </c>
      <c r="DX12" s="62" t="s">
        <v>274</v>
      </c>
      <c r="DY12" s="62" t="s">
        <v>274</v>
      </c>
      <c r="DZ12" s="62" t="s">
        <v>275</v>
      </c>
      <c r="EA12" s="57" t="s">
        <v>274</v>
      </c>
      <c r="EB12" s="56" t="s">
        <v>362</v>
      </c>
      <c r="EC12" s="57" t="s">
        <v>275</v>
      </c>
      <c r="ED12" s="56"/>
      <c r="EE12" s="56"/>
      <c r="EF12" s="56"/>
      <c r="EG12" s="56"/>
      <c r="EH12" s="58"/>
      <c r="EI12" s="86"/>
      <c r="EJ12" s="86"/>
    </row>
    <row r="13" spans="1:140" ht="106.5" customHeight="1" outlineLevel="1" x14ac:dyDescent="0.25">
      <c r="A13" s="91"/>
      <c r="B13" s="126" t="s">
        <v>661</v>
      </c>
      <c r="C13" s="56" t="s">
        <v>661</v>
      </c>
      <c r="D13" s="56" t="s">
        <v>456</v>
      </c>
      <c r="E13" s="56" t="s">
        <v>349</v>
      </c>
      <c r="F13" s="57" t="s">
        <v>279</v>
      </c>
      <c r="G13" s="57" t="s">
        <v>623</v>
      </c>
      <c r="H13" s="58"/>
      <c r="I13" s="57" t="s">
        <v>201</v>
      </c>
      <c r="J13" s="57" t="s">
        <v>201</v>
      </c>
      <c r="K13" s="57" t="s">
        <v>204</v>
      </c>
      <c r="L13" s="57" t="s">
        <v>350</v>
      </c>
      <c r="M13" s="57" t="s">
        <v>267</v>
      </c>
      <c r="N13" s="57"/>
      <c r="O13" s="57" t="s">
        <v>665</v>
      </c>
      <c r="P13" s="57"/>
      <c r="Q13" s="57" t="s">
        <v>268</v>
      </c>
      <c r="R13" s="57" t="s">
        <v>268</v>
      </c>
      <c r="S13" s="57" t="s">
        <v>271</v>
      </c>
      <c r="T13" s="57" t="s">
        <v>272</v>
      </c>
      <c r="U13" s="57" t="s">
        <v>268</v>
      </c>
      <c r="V13" s="57" t="s">
        <v>268</v>
      </c>
      <c r="W13" s="57" t="s">
        <v>268</v>
      </c>
      <c r="X13" s="58" t="s">
        <v>280</v>
      </c>
      <c r="Y13" s="59" t="s">
        <v>268</v>
      </c>
      <c r="Z13" s="59" t="s">
        <v>272</v>
      </c>
      <c r="AA13" s="57" t="s">
        <v>269</v>
      </c>
      <c r="AB13" s="59" t="s">
        <v>269</v>
      </c>
      <c r="AC13" s="59"/>
      <c r="AD13" s="59" t="s">
        <v>274</v>
      </c>
      <c r="AE13" s="57" t="s">
        <v>196</v>
      </c>
      <c r="AF13" s="58" t="s">
        <v>461</v>
      </c>
      <c r="AG13" s="57" t="s">
        <v>267</v>
      </c>
      <c r="AH13" s="57"/>
      <c r="AI13" s="57" t="s">
        <v>267</v>
      </c>
      <c r="AJ13" s="57" t="s">
        <v>267</v>
      </c>
      <c r="AK13" s="57"/>
      <c r="AL13" s="57" t="s">
        <v>267</v>
      </c>
      <c r="AM13" s="57" t="s">
        <v>267</v>
      </c>
      <c r="AN13" s="57" t="s">
        <v>267</v>
      </c>
      <c r="AO13" s="57" t="s">
        <v>267</v>
      </c>
      <c r="AP13" s="57" t="s">
        <v>83</v>
      </c>
      <c r="AQ13" s="57"/>
      <c r="AR13" s="57"/>
      <c r="AS13" s="57"/>
      <c r="AT13" s="57"/>
      <c r="AU13" s="57" t="s">
        <v>267</v>
      </c>
      <c r="AV13" s="57"/>
      <c r="AW13" s="57"/>
      <c r="AX13" s="57"/>
      <c r="AY13" s="57"/>
      <c r="AZ13" s="57"/>
      <c r="BA13" s="57"/>
      <c r="BB13" s="57" t="s">
        <v>267</v>
      </c>
      <c r="BC13" s="57" t="s">
        <v>267</v>
      </c>
      <c r="BD13" s="57"/>
      <c r="BE13" s="57"/>
      <c r="BF13" s="57"/>
      <c r="BG13" s="57" t="s">
        <v>267</v>
      </c>
      <c r="BH13" s="57"/>
      <c r="BI13" s="57" t="s">
        <v>267</v>
      </c>
      <c r="BJ13" s="57"/>
      <c r="BK13" s="57"/>
      <c r="BL13" s="57"/>
      <c r="BM13" s="57"/>
      <c r="BN13" s="57"/>
      <c r="BO13" s="57" t="s">
        <v>267</v>
      </c>
      <c r="BP13" s="57"/>
      <c r="BQ13" s="57"/>
      <c r="BR13" s="57"/>
      <c r="BS13" s="57"/>
      <c r="BT13" s="57"/>
      <c r="BU13" s="57"/>
      <c r="BV13" s="57" t="s">
        <v>267</v>
      </c>
      <c r="BW13" s="57"/>
      <c r="BX13" s="57"/>
      <c r="BY13" s="57"/>
      <c r="BZ13" s="57" t="s">
        <v>267</v>
      </c>
      <c r="CA13" s="57"/>
      <c r="CB13" s="57"/>
      <c r="CC13" s="57"/>
      <c r="CD13" s="57"/>
      <c r="CE13" s="57"/>
      <c r="CF13" s="57"/>
      <c r="CG13" s="57"/>
      <c r="CH13" s="57"/>
      <c r="CI13" s="57"/>
      <c r="CJ13" s="57"/>
      <c r="CK13" s="57"/>
      <c r="CL13" s="57"/>
      <c r="CM13" s="57"/>
      <c r="CN13" s="57" t="s">
        <v>267</v>
      </c>
      <c r="CO13" s="57"/>
      <c r="CP13" s="57"/>
      <c r="CQ13" s="57"/>
      <c r="CR13" s="57"/>
      <c r="CS13" s="57"/>
      <c r="CT13" s="57"/>
      <c r="CU13" s="57" t="s">
        <v>267</v>
      </c>
      <c r="CV13" s="57"/>
      <c r="CW13" s="57"/>
      <c r="CX13" s="57"/>
      <c r="CY13" s="57" t="s">
        <v>267</v>
      </c>
      <c r="CZ13" s="57"/>
      <c r="DA13" s="57"/>
      <c r="DB13" s="57"/>
      <c r="DC13" s="57"/>
      <c r="DD13" s="57"/>
      <c r="DE13" s="57"/>
      <c r="DF13" s="57"/>
      <c r="DG13" s="57"/>
      <c r="DH13" s="57"/>
      <c r="DI13" s="57"/>
      <c r="DJ13" s="57"/>
      <c r="DK13" s="57"/>
      <c r="DL13" s="57"/>
      <c r="DM13" s="57"/>
      <c r="DN13" s="57" t="s">
        <v>267</v>
      </c>
      <c r="DO13" s="57"/>
      <c r="DP13" s="57" t="s">
        <v>121</v>
      </c>
      <c r="DQ13" s="62"/>
      <c r="DR13" s="62"/>
      <c r="DS13" s="62"/>
      <c r="DT13" s="62"/>
      <c r="DU13" s="62"/>
      <c r="DV13" s="62"/>
      <c r="DW13" s="62" t="s">
        <v>274</v>
      </c>
      <c r="DX13" s="62" t="s">
        <v>274</v>
      </c>
      <c r="DY13" s="62" t="s">
        <v>274</v>
      </c>
      <c r="DZ13" s="62" t="s">
        <v>274</v>
      </c>
      <c r="EA13" s="57" t="s">
        <v>274</v>
      </c>
      <c r="EB13" s="56" t="s">
        <v>362</v>
      </c>
      <c r="EC13" s="57" t="s">
        <v>275</v>
      </c>
      <c r="ED13" s="56"/>
      <c r="EE13" s="56"/>
      <c r="EF13" s="56"/>
      <c r="EG13" s="56"/>
      <c r="EH13" s="58"/>
      <c r="EI13" s="86"/>
      <c r="EJ13" s="86"/>
    </row>
    <row r="14" spans="1:140" ht="108" customHeight="1" outlineLevel="1" x14ac:dyDescent="0.25">
      <c r="A14" s="91"/>
      <c r="B14" s="126" t="s">
        <v>661</v>
      </c>
      <c r="C14" s="56" t="s">
        <v>661</v>
      </c>
      <c r="D14" s="56" t="s">
        <v>455</v>
      </c>
      <c r="E14" s="56" t="s">
        <v>351</v>
      </c>
      <c r="F14" s="57" t="s">
        <v>279</v>
      </c>
      <c r="G14" s="57" t="s">
        <v>623</v>
      </c>
      <c r="H14" s="58"/>
      <c r="I14" s="57" t="s">
        <v>196</v>
      </c>
      <c r="J14" s="57" t="s">
        <v>196</v>
      </c>
      <c r="K14" s="57" t="s">
        <v>204</v>
      </c>
      <c r="L14" s="57" t="s">
        <v>350</v>
      </c>
      <c r="M14" s="57" t="s">
        <v>267</v>
      </c>
      <c r="N14" s="57"/>
      <c r="O14" s="57" t="s">
        <v>665</v>
      </c>
      <c r="P14" s="57"/>
      <c r="Q14" s="57" t="s">
        <v>268</v>
      </c>
      <c r="R14" s="57" t="s">
        <v>268</v>
      </c>
      <c r="S14" s="57" t="s">
        <v>268</v>
      </c>
      <c r="T14" s="57" t="s">
        <v>268</v>
      </c>
      <c r="U14" s="57" t="s">
        <v>268</v>
      </c>
      <c r="V14" s="57" t="s">
        <v>268</v>
      </c>
      <c r="W14" s="57" t="s">
        <v>268</v>
      </c>
      <c r="X14" s="58" t="s">
        <v>280</v>
      </c>
      <c r="Y14" s="59" t="s">
        <v>268</v>
      </c>
      <c r="Z14" s="59" t="s">
        <v>272</v>
      </c>
      <c r="AA14" s="57" t="s">
        <v>269</v>
      </c>
      <c r="AB14" s="59" t="s">
        <v>269</v>
      </c>
      <c r="AC14" s="59"/>
      <c r="AD14" s="59" t="s">
        <v>274</v>
      </c>
      <c r="AE14" s="57" t="s">
        <v>196</v>
      </c>
      <c r="AF14" s="58" t="s">
        <v>461</v>
      </c>
      <c r="AG14" s="57" t="s">
        <v>267</v>
      </c>
      <c r="AH14" s="57"/>
      <c r="AI14" s="57" t="s">
        <v>267</v>
      </c>
      <c r="AJ14" s="57" t="s">
        <v>267</v>
      </c>
      <c r="AK14" s="57" t="s">
        <v>267</v>
      </c>
      <c r="AL14" s="57" t="s">
        <v>267</v>
      </c>
      <c r="AM14" s="57" t="s">
        <v>267</v>
      </c>
      <c r="AN14" s="57" t="s">
        <v>267</v>
      </c>
      <c r="AO14" s="57" t="s">
        <v>267</v>
      </c>
      <c r="AP14" s="57"/>
      <c r="AQ14" s="57"/>
      <c r="AR14" s="57"/>
      <c r="AS14" s="57"/>
      <c r="AT14" s="57" t="s">
        <v>267</v>
      </c>
      <c r="AU14" s="57"/>
      <c r="AV14" s="57"/>
      <c r="AW14" s="57"/>
      <c r="AX14" s="57"/>
      <c r="AY14" s="57"/>
      <c r="AZ14" s="57"/>
      <c r="BA14" s="57" t="s">
        <v>83</v>
      </c>
      <c r="BB14" s="57" t="s">
        <v>267</v>
      </c>
      <c r="BC14" s="57"/>
      <c r="BD14" s="57"/>
      <c r="BE14" s="57"/>
      <c r="BF14" s="57"/>
      <c r="BG14" s="57"/>
      <c r="BH14" s="57"/>
      <c r="BI14" s="57"/>
      <c r="BJ14" s="57"/>
      <c r="BK14" s="57"/>
      <c r="BL14" s="57"/>
      <c r="BM14" s="57"/>
      <c r="BN14" s="57"/>
      <c r="BO14" s="57" t="s">
        <v>267</v>
      </c>
      <c r="BP14" s="57"/>
      <c r="BQ14" s="57"/>
      <c r="BR14" s="57"/>
      <c r="BS14" s="57"/>
      <c r="BT14" s="57"/>
      <c r="BU14" s="57"/>
      <c r="BV14" s="57"/>
      <c r="BW14" s="57"/>
      <c r="BX14" s="57"/>
      <c r="BY14" s="57"/>
      <c r="BZ14" s="57" t="s">
        <v>267</v>
      </c>
      <c r="CA14" s="57"/>
      <c r="CB14" s="57"/>
      <c r="CC14" s="57"/>
      <c r="CD14" s="57"/>
      <c r="CE14" s="57"/>
      <c r="CF14" s="57"/>
      <c r="CG14" s="57"/>
      <c r="CH14" s="57"/>
      <c r="CI14" s="57"/>
      <c r="CJ14" s="57"/>
      <c r="CK14" s="57"/>
      <c r="CL14" s="57"/>
      <c r="CM14" s="57"/>
      <c r="CN14" s="57" t="s">
        <v>267</v>
      </c>
      <c r="CO14" s="57"/>
      <c r="CP14" s="57"/>
      <c r="CQ14" s="57"/>
      <c r="CR14" s="57"/>
      <c r="CS14" s="57"/>
      <c r="CT14" s="57"/>
      <c r="CU14" s="57"/>
      <c r="CV14" s="57"/>
      <c r="CW14" s="57"/>
      <c r="CX14" s="57"/>
      <c r="CY14" s="57" t="s">
        <v>267</v>
      </c>
      <c r="CZ14" s="57"/>
      <c r="DA14" s="57"/>
      <c r="DB14" s="57"/>
      <c r="DC14" s="57"/>
      <c r="DD14" s="57"/>
      <c r="DE14" s="57"/>
      <c r="DF14" s="57"/>
      <c r="DG14" s="57"/>
      <c r="DH14" s="57"/>
      <c r="DI14" s="57"/>
      <c r="DJ14" s="57"/>
      <c r="DK14" s="57"/>
      <c r="DL14" s="57"/>
      <c r="DM14" s="57"/>
      <c r="DN14" s="57" t="s">
        <v>267</v>
      </c>
      <c r="DO14" s="57"/>
      <c r="DP14" s="57" t="s">
        <v>121</v>
      </c>
      <c r="DQ14" s="62"/>
      <c r="DR14" s="62"/>
      <c r="DS14" s="62"/>
      <c r="DT14" s="62"/>
      <c r="DU14" s="62"/>
      <c r="DV14" s="62"/>
      <c r="DW14" s="62" t="s">
        <v>274</v>
      </c>
      <c r="DX14" s="62" t="s">
        <v>274</v>
      </c>
      <c r="DY14" s="62" t="s">
        <v>274</v>
      </c>
      <c r="DZ14" s="62" t="s">
        <v>274</v>
      </c>
      <c r="EA14" s="57" t="s">
        <v>274</v>
      </c>
      <c r="EB14" s="56" t="s">
        <v>674</v>
      </c>
      <c r="EC14" s="57"/>
      <c r="ED14" s="56"/>
      <c r="EE14" s="56"/>
      <c r="EF14" s="56"/>
      <c r="EG14" s="56"/>
      <c r="EH14" s="58"/>
      <c r="EI14" s="86"/>
      <c r="EJ14" s="86"/>
    </row>
    <row r="15" spans="1:140" ht="66" outlineLevel="1" x14ac:dyDescent="0.25">
      <c r="A15" s="91"/>
      <c r="B15" s="126" t="s">
        <v>661</v>
      </c>
      <c r="C15" s="56" t="s">
        <v>661</v>
      </c>
      <c r="D15" s="56" t="s">
        <v>177</v>
      </c>
      <c r="E15" s="56" t="s">
        <v>352</v>
      </c>
      <c r="F15" s="57" t="s">
        <v>279</v>
      </c>
      <c r="G15" s="57" t="s">
        <v>623</v>
      </c>
      <c r="H15" s="58"/>
      <c r="I15" s="57" t="s">
        <v>196</v>
      </c>
      <c r="J15" s="57" t="s">
        <v>196</v>
      </c>
      <c r="K15" s="57" t="s">
        <v>204</v>
      </c>
      <c r="L15" s="57" t="s">
        <v>350</v>
      </c>
      <c r="M15" s="57" t="s">
        <v>267</v>
      </c>
      <c r="N15" s="57"/>
      <c r="O15" s="57" t="s">
        <v>665</v>
      </c>
      <c r="P15" s="57"/>
      <c r="Q15" s="57" t="s">
        <v>271</v>
      </c>
      <c r="R15" s="57" t="s">
        <v>268</v>
      </c>
      <c r="S15" s="57" t="s">
        <v>271</v>
      </c>
      <c r="T15" s="57" t="s">
        <v>272</v>
      </c>
      <c r="U15" s="57" t="s">
        <v>271</v>
      </c>
      <c r="V15" s="57" t="s">
        <v>268</v>
      </c>
      <c r="W15" s="57" t="s">
        <v>268</v>
      </c>
      <c r="X15" s="58" t="s">
        <v>280</v>
      </c>
      <c r="Y15" s="59" t="s">
        <v>269</v>
      </c>
      <c r="Z15" s="59" t="s">
        <v>272</v>
      </c>
      <c r="AA15" s="57" t="s">
        <v>269</v>
      </c>
      <c r="AB15" s="59" t="s">
        <v>269</v>
      </c>
      <c r="AC15" s="59"/>
      <c r="AD15" s="59" t="s">
        <v>274</v>
      </c>
      <c r="AE15" s="57" t="s">
        <v>196</v>
      </c>
      <c r="AF15" s="58" t="s">
        <v>461</v>
      </c>
      <c r="AG15" s="57" t="s">
        <v>267</v>
      </c>
      <c r="AH15" s="57"/>
      <c r="AI15" s="57" t="s">
        <v>267</v>
      </c>
      <c r="AJ15" s="57" t="s">
        <v>267</v>
      </c>
      <c r="AK15" s="57"/>
      <c r="AL15" s="57" t="s">
        <v>267</v>
      </c>
      <c r="AM15" s="57"/>
      <c r="AN15" s="57" t="s">
        <v>267</v>
      </c>
      <c r="AO15" s="57" t="s">
        <v>267</v>
      </c>
      <c r="AP15" s="57"/>
      <c r="AQ15" s="57"/>
      <c r="AR15" s="57"/>
      <c r="AS15" s="57"/>
      <c r="AT15" s="57"/>
      <c r="AU15" s="57"/>
      <c r="AV15" s="57"/>
      <c r="AW15" s="57"/>
      <c r="AX15" s="57"/>
      <c r="AY15" s="57"/>
      <c r="AZ15" s="57"/>
      <c r="BA15" s="57"/>
      <c r="BB15" s="57" t="s">
        <v>267</v>
      </c>
      <c r="BC15" s="57"/>
      <c r="BD15" s="57"/>
      <c r="BE15" s="57"/>
      <c r="BF15" s="57"/>
      <c r="BG15" s="57"/>
      <c r="BH15" s="57"/>
      <c r="BI15" s="57"/>
      <c r="BJ15" s="57"/>
      <c r="BK15" s="57"/>
      <c r="BL15" s="57"/>
      <c r="BM15" s="57"/>
      <c r="BN15" s="57"/>
      <c r="BO15" s="57" t="s">
        <v>267</v>
      </c>
      <c r="BP15" s="57"/>
      <c r="BQ15" s="57"/>
      <c r="BR15" s="57"/>
      <c r="BS15" s="57"/>
      <c r="BT15" s="57"/>
      <c r="BU15" s="57"/>
      <c r="BV15" s="57"/>
      <c r="BW15" s="57"/>
      <c r="BX15" s="57"/>
      <c r="BY15" s="57"/>
      <c r="BZ15" s="57" t="s">
        <v>267</v>
      </c>
      <c r="CA15" s="57"/>
      <c r="CB15" s="57"/>
      <c r="CC15" s="57"/>
      <c r="CD15" s="57"/>
      <c r="CE15" s="57"/>
      <c r="CF15" s="57"/>
      <c r="CG15" s="57"/>
      <c r="CH15" s="57"/>
      <c r="CI15" s="57"/>
      <c r="CJ15" s="57"/>
      <c r="CK15" s="57"/>
      <c r="CL15" s="57"/>
      <c r="CM15" s="57"/>
      <c r="CN15" s="57" t="s">
        <v>267</v>
      </c>
      <c r="CO15" s="57"/>
      <c r="CP15" s="57"/>
      <c r="CQ15" s="57"/>
      <c r="CR15" s="57"/>
      <c r="CS15" s="57"/>
      <c r="CT15" s="57"/>
      <c r="CU15" s="57"/>
      <c r="CV15" s="57"/>
      <c r="CW15" s="57"/>
      <c r="CX15" s="57"/>
      <c r="CY15" s="57" t="s">
        <v>267</v>
      </c>
      <c r="CZ15" s="57"/>
      <c r="DA15" s="57"/>
      <c r="DB15" s="57"/>
      <c r="DC15" s="57"/>
      <c r="DD15" s="57"/>
      <c r="DE15" s="57"/>
      <c r="DF15" s="57"/>
      <c r="DG15" s="57"/>
      <c r="DH15" s="57"/>
      <c r="DI15" s="57"/>
      <c r="DJ15" s="57"/>
      <c r="DK15" s="57"/>
      <c r="DL15" s="57"/>
      <c r="DM15" s="57"/>
      <c r="DN15" s="57" t="s">
        <v>267</v>
      </c>
      <c r="DO15" s="57"/>
      <c r="DP15" s="57" t="s">
        <v>121</v>
      </c>
      <c r="DQ15" s="62"/>
      <c r="DR15" s="62"/>
      <c r="DS15" s="62"/>
      <c r="DT15" s="62"/>
      <c r="DU15" s="62"/>
      <c r="DV15" s="62"/>
      <c r="DW15" s="62" t="s">
        <v>274</v>
      </c>
      <c r="DX15" s="62" t="s">
        <v>274</v>
      </c>
      <c r="DY15" s="62" t="s">
        <v>274</v>
      </c>
      <c r="DZ15" s="62" t="s">
        <v>274</v>
      </c>
      <c r="EA15" s="57" t="s">
        <v>274</v>
      </c>
      <c r="EB15" s="56" t="s">
        <v>675</v>
      </c>
      <c r="EC15" s="57" t="s">
        <v>275</v>
      </c>
      <c r="ED15" s="56"/>
      <c r="EE15" s="56"/>
      <c r="EF15" s="56"/>
      <c r="EG15" s="56"/>
      <c r="EH15" s="58"/>
      <c r="EI15" s="86"/>
      <c r="EJ15" s="86"/>
    </row>
    <row r="16" spans="1:140" ht="39.6" outlineLevel="1" x14ac:dyDescent="0.25">
      <c r="A16" s="91"/>
      <c r="B16" s="126" t="s">
        <v>661</v>
      </c>
      <c r="C16" s="56" t="s">
        <v>660</v>
      </c>
      <c r="D16" s="56" t="s">
        <v>181</v>
      </c>
      <c r="E16" s="56" t="s">
        <v>294</v>
      </c>
      <c r="F16" s="57" t="s">
        <v>279</v>
      </c>
      <c r="G16" s="57" t="s">
        <v>623</v>
      </c>
      <c r="H16" s="58"/>
      <c r="I16" s="57" t="s">
        <v>199</v>
      </c>
      <c r="J16" s="57"/>
      <c r="K16" s="57" t="s">
        <v>198</v>
      </c>
      <c r="L16" s="57" t="s">
        <v>295</v>
      </c>
      <c r="M16" s="57"/>
      <c r="N16" s="57" t="s">
        <v>267</v>
      </c>
      <c r="O16" s="57"/>
      <c r="P16" s="57"/>
      <c r="Q16" s="57" t="s">
        <v>268</v>
      </c>
      <c r="R16" s="57" t="s">
        <v>268</v>
      </c>
      <c r="S16" s="57" t="s">
        <v>269</v>
      </c>
      <c r="T16" s="57" t="s">
        <v>269</v>
      </c>
      <c r="U16" s="57" t="s">
        <v>268</v>
      </c>
      <c r="V16" s="57" t="s">
        <v>268</v>
      </c>
      <c r="W16" s="57" t="s">
        <v>268</v>
      </c>
      <c r="X16" s="58" t="s">
        <v>280</v>
      </c>
      <c r="Y16" s="59" t="s">
        <v>271</v>
      </c>
      <c r="Z16" s="59" t="s">
        <v>271</v>
      </c>
      <c r="AA16" s="57" t="s">
        <v>269</v>
      </c>
      <c r="AB16" s="59" t="s">
        <v>269</v>
      </c>
      <c r="AC16" s="59"/>
      <c r="AD16" s="59" t="s">
        <v>274</v>
      </c>
      <c r="AE16" s="57" t="s">
        <v>199</v>
      </c>
      <c r="AF16" s="58" t="s">
        <v>467</v>
      </c>
      <c r="AG16" s="57" t="s">
        <v>267</v>
      </c>
      <c r="AH16" s="57"/>
      <c r="AI16" s="57" t="s">
        <v>267</v>
      </c>
      <c r="AJ16" s="57" t="s">
        <v>267</v>
      </c>
      <c r="AK16" s="57"/>
      <c r="AL16" s="57" t="s">
        <v>267</v>
      </c>
      <c r="AM16" s="57" t="s">
        <v>267</v>
      </c>
      <c r="AN16" s="57" t="s">
        <v>267</v>
      </c>
      <c r="AO16" s="57" t="s">
        <v>267</v>
      </c>
      <c r="AP16" s="57"/>
      <c r="AQ16" s="57"/>
      <c r="AR16" s="57"/>
      <c r="AS16" s="57"/>
      <c r="AT16" s="57" t="s">
        <v>267</v>
      </c>
      <c r="AU16" s="57"/>
      <c r="AV16" s="57"/>
      <c r="AW16" s="57"/>
      <c r="AX16" s="57"/>
      <c r="AY16" s="57"/>
      <c r="AZ16" s="57"/>
      <c r="BA16" s="57"/>
      <c r="BB16" s="57" t="s">
        <v>267</v>
      </c>
      <c r="BC16" s="57"/>
      <c r="BD16" s="57" t="s">
        <v>83</v>
      </c>
      <c r="BE16" s="57"/>
      <c r="BF16" s="57"/>
      <c r="BG16" s="57"/>
      <c r="BH16" s="57"/>
      <c r="BI16" s="57"/>
      <c r="BJ16" s="57"/>
      <c r="BK16" s="57"/>
      <c r="BL16" s="57"/>
      <c r="BM16" s="57"/>
      <c r="BN16" s="57"/>
      <c r="BO16" s="57" t="s">
        <v>267</v>
      </c>
      <c r="BP16" s="57"/>
      <c r="BQ16" s="57"/>
      <c r="BR16" s="57"/>
      <c r="BS16" s="57"/>
      <c r="BT16" s="57"/>
      <c r="BU16" s="57"/>
      <c r="BV16" s="57"/>
      <c r="BW16" s="57"/>
      <c r="BX16" s="57"/>
      <c r="BY16" s="57"/>
      <c r="BZ16" s="57" t="s">
        <v>267</v>
      </c>
      <c r="CA16" s="57"/>
      <c r="CB16" s="57"/>
      <c r="CC16" s="57"/>
      <c r="CD16" s="57"/>
      <c r="CE16" s="57"/>
      <c r="CF16" s="57"/>
      <c r="CG16" s="57"/>
      <c r="CH16" s="57"/>
      <c r="CI16" s="57"/>
      <c r="CJ16" s="57"/>
      <c r="CK16" s="57"/>
      <c r="CL16" s="57"/>
      <c r="CM16" s="57"/>
      <c r="CN16" s="57" t="s">
        <v>267</v>
      </c>
      <c r="CO16" s="57"/>
      <c r="CP16" s="57"/>
      <c r="CQ16" s="57"/>
      <c r="CR16" s="57"/>
      <c r="CS16" s="57"/>
      <c r="CT16" s="57"/>
      <c r="CU16" s="57"/>
      <c r="CV16" s="57"/>
      <c r="CW16" s="57"/>
      <c r="CX16" s="57"/>
      <c r="CY16" s="57" t="s">
        <v>267</v>
      </c>
      <c r="CZ16" s="57"/>
      <c r="DA16" s="57"/>
      <c r="DB16" s="57"/>
      <c r="DC16" s="57"/>
      <c r="DD16" s="57"/>
      <c r="DE16" s="57"/>
      <c r="DF16" s="57"/>
      <c r="DG16" s="57"/>
      <c r="DH16" s="57"/>
      <c r="DI16" s="57"/>
      <c r="DJ16" s="57"/>
      <c r="DK16" s="57"/>
      <c r="DL16" s="57"/>
      <c r="DM16" s="57"/>
      <c r="DN16" s="57" t="s">
        <v>267</v>
      </c>
      <c r="DO16" s="57"/>
      <c r="DP16" s="57" t="s">
        <v>121</v>
      </c>
      <c r="DQ16" s="62"/>
      <c r="DR16" s="62"/>
      <c r="DS16" s="62"/>
      <c r="DT16" s="62"/>
      <c r="DU16" s="62"/>
      <c r="DV16" s="62"/>
      <c r="DW16" s="62" t="s">
        <v>274</v>
      </c>
      <c r="DX16" s="62" t="s">
        <v>274</v>
      </c>
      <c r="DY16" s="62" t="s">
        <v>274</v>
      </c>
      <c r="DZ16" s="62" t="s">
        <v>275</v>
      </c>
      <c r="EA16" s="57" t="s">
        <v>275</v>
      </c>
      <c r="EB16" s="56" t="s">
        <v>296</v>
      </c>
      <c r="EC16" s="57" t="s">
        <v>275</v>
      </c>
      <c r="ED16" s="56"/>
      <c r="EE16" s="56"/>
      <c r="EF16" s="56"/>
      <c r="EG16" s="56"/>
      <c r="EH16" s="58"/>
      <c r="EI16" s="86"/>
      <c r="EJ16" s="86"/>
    </row>
    <row r="17" spans="1:140" ht="52.8" outlineLevel="1" x14ac:dyDescent="0.25">
      <c r="A17" s="91"/>
      <c r="B17" s="126" t="s">
        <v>661</v>
      </c>
      <c r="C17" s="56" t="s">
        <v>660</v>
      </c>
      <c r="D17" s="56" t="s">
        <v>182</v>
      </c>
      <c r="E17" s="56" t="s">
        <v>297</v>
      </c>
      <c r="F17" s="57" t="s">
        <v>279</v>
      </c>
      <c r="G17" s="57" t="s">
        <v>623</v>
      </c>
      <c r="H17" s="58"/>
      <c r="I17" s="57" t="s">
        <v>199</v>
      </c>
      <c r="J17" s="57" t="s">
        <v>199</v>
      </c>
      <c r="K17" s="57" t="s">
        <v>198</v>
      </c>
      <c r="L17" s="57" t="s">
        <v>298</v>
      </c>
      <c r="M17" s="57"/>
      <c r="N17" s="57" t="s">
        <v>267</v>
      </c>
      <c r="O17" s="57"/>
      <c r="P17" s="57"/>
      <c r="Q17" s="57" t="s">
        <v>268</v>
      </c>
      <c r="R17" s="57" t="s">
        <v>268</v>
      </c>
      <c r="S17" s="57" t="s">
        <v>269</v>
      </c>
      <c r="T17" s="57" t="s">
        <v>269</v>
      </c>
      <c r="U17" s="57" t="s">
        <v>268</v>
      </c>
      <c r="V17" s="57" t="s">
        <v>268</v>
      </c>
      <c r="W17" s="57" t="s">
        <v>268</v>
      </c>
      <c r="X17" s="58" t="s">
        <v>280</v>
      </c>
      <c r="Y17" s="59" t="s">
        <v>271</v>
      </c>
      <c r="Z17" s="59" t="s">
        <v>271</v>
      </c>
      <c r="AA17" s="57" t="s">
        <v>269</v>
      </c>
      <c r="AB17" s="59" t="s">
        <v>269</v>
      </c>
      <c r="AC17" s="59"/>
      <c r="AD17" s="59" t="s">
        <v>274</v>
      </c>
      <c r="AE17" s="57" t="s">
        <v>199</v>
      </c>
      <c r="AF17" s="58" t="s">
        <v>299</v>
      </c>
      <c r="AG17" s="57" t="s">
        <v>267</v>
      </c>
      <c r="AH17" s="57"/>
      <c r="AI17" s="57" t="s">
        <v>267</v>
      </c>
      <c r="AJ17" s="57" t="s">
        <v>267</v>
      </c>
      <c r="AK17" s="57"/>
      <c r="AL17" s="57" t="s">
        <v>267</v>
      </c>
      <c r="AM17" s="57" t="s">
        <v>267</v>
      </c>
      <c r="AN17" s="57" t="s">
        <v>267</v>
      </c>
      <c r="AO17" s="57" t="s">
        <v>267</v>
      </c>
      <c r="AP17" s="57"/>
      <c r="AQ17" s="57"/>
      <c r="AR17" s="57"/>
      <c r="AS17" s="57"/>
      <c r="AT17" s="57"/>
      <c r="AU17" s="57"/>
      <c r="AV17" s="57"/>
      <c r="AW17" s="57"/>
      <c r="AX17" s="57"/>
      <c r="AY17" s="57"/>
      <c r="AZ17" s="57"/>
      <c r="BA17" s="57"/>
      <c r="BB17" s="57" t="s">
        <v>267</v>
      </c>
      <c r="BC17" s="57" t="s">
        <v>83</v>
      </c>
      <c r="BD17" s="57"/>
      <c r="BE17" s="57"/>
      <c r="BF17" s="57"/>
      <c r="BG17" s="57"/>
      <c r="BH17" s="57"/>
      <c r="BI17" s="57"/>
      <c r="BJ17" s="57"/>
      <c r="BK17" s="57"/>
      <c r="BL17" s="57"/>
      <c r="BM17" s="57" t="s">
        <v>83</v>
      </c>
      <c r="BN17" s="57"/>
      <c r="BO17" s="57" t="s">
        <v>267</v>
      </c>
      <c r="BP17" s="57"/>
      <c r="BQ17" s="57"/>
      <c r="BR17" s="57"/>
      <c r="BS17" s="57"/>
      <c r="BT17" s="57"/>
      <c r="BU17" s="57"/>
      <c r="BV17" s="57"/>
      <c r="BW17" s="57"/>
      <c r="BX17" s="57" t="s">
        <v>83</v>
      </c>
      <c r="BY17" s="57"/>
      <c r="BZ17" s="57" t="s">
        <v>267</v>
      </c>
      <c r="CA17" s="57"/>
      <c r="CB17" s="57"/>
      <c r="CC17" s="57"/>
      <c r="CD17" s="57"/>
      <c r="CE17" s="57"/>
      <c r="CF17" s="57"/>
      <c r="CG17" s="57"/>
      <c r="CH17" s="57"/>
      <c r="CI17" s="57"/>
      <c r="CJ17" s="57"/>
      <c r="CK17" s="57"/>
      <c r="CL17" s="57" t="s">
        <v>83</v>
      </c>
      <c r="CM17" s="57"/>
      <c r="CN17" s="57" t="s">
        <v>267</v>
      </c>
      <c r="CO17" s="57"/>
      <c r="CP17" s="57"/>
      <c r="CQ17" s="57"/>
      <c r="CR17" s="57"/>
      <c r="CS17" s="57"/>
      <c r="CT17" s="57"/>
      <c r="CU17" s="57"/>
      <c r="CV17" s="57"/>
      <c r="CW17" s="57" t="s">
        <v>83</v>
      </c>
      <c r="CX17" s="57"/>
      <c r="CY17" s="57" t="s">
        <v>267</v>
      </c>
      <c r="CZ17" s="57"/>
      <c r="DA17" s="57"/>
      <c r="DB17" s="57"/>
      <c r="DC17" s="57"/>
      <c r="DD17" s="57"/>
      <c r="DE17" s="57"/>
      <c r="DF17" s="57"/>
      <c r="DG17" s="57"/>
      <c r="DH17" s="57"/>
      <c r="DI17" s="57" t="s">
        <v>83</v>
      </c>
      <c r="DJ17" s="57"/>
      <c r="DK17" s="57"/>
      <c r="DL17" s="57"/>
      <c r="DM17" s="57"/>
      <c r="DN17" s="57" t="s">
        <v>267</v>
      </c>
      <c r="DO17" s="57"/>
      <c r="DP17" s="57" t="s">
        <v>121</v>
      </c>
      <c r="DQ17" s="62"/>
      <c r="DR17" s="62"/>
      <c r="DS17" s="62"/>
      <c r="DT17" s="62"/>
      <c r="DU17" s="62"/>
      <c r="DV17" s="62"/>
      <c r="DW17" s="62" t="s">
        <v>274</v>
      </c>
      <c r="DX17" s="62" t="s">
        <v>274</v>
      </c>
      <c r="DY17" s="62" t="s">
        <v>274</v>
      </c>
      <c r="DZ17" s="62" t="s">
        <v>274</v>
      </c>
      <c r="EA17" s="57" t="s">
        <v>274</v>
      </c>
      <c r="EB17" s="56" t="s">
        <v>301</v>
      </c>
      <c r="EC17" s="57" t="s">
        <v>275</v>
      </c>
      <c r="ED17" s="56"/>
      <c r="EE17" s="56"/>
      <c r="EF17" s="56"/>
      <c r="EG17" s="56"/>
      <c r="EH17" s="58"/>
      <c r="EI17" s="86"/>
      <c r="EJ17" s="86"/>
    </row>
    <row r="18" spans="1:140" ht="81" customHeight="1" outlineLevel="1" x14ac:dyDescent="0.25">
      <c r="A18" s="91"/>
      <c r="B18" s="126" t="s">
        <v>661</v>
      </c>
      <c r="C18" s="56" t="s">
        <v>660</v>
      </c>
      <c r="D18" s="56" t="s">
        <v>184</v>
      </c>
      <c r="E18" s="56" t="s">
        <v>322</v>
      </c>
      <c r="F18" s="57" t="s">
        <v>265</v>
      </c>
      <c r="G18" s="57" t="s">
        <v>623</v>
      </c>
      <c r="H18" s="58"/>
      <c r="I18" s="57" t="s">
        <v>203</v>
      </c>
      <c r="J18" s="57" t="s">
        <v>203</v>
      </c>
      <c r="K18" s="57" t="s">
        <v>448</v>
      </c>
      <c r="L18" s="62" t="s">
        <v>323</v>
      </c>
      <c r="M18" s="62" t="s">
        <v>267</v>
      </c>
      <c r="N18" s="62" t="s">
        <v>83</v>
      </c>
      <c r="O18" s="62"/>
      <c r="P18" s="62"/>
      <c r="Q18" s="62" t="s">
        <v>268</v>
      </c>
      <c r="R18" s="62" t="s">
        <v>268</v>
      </c>
      <c r="S18" s="62" t="s">
        <v>268</v>
      </c>
      <c r="T18" s="62" t="s">
        <v>268</v>
      </c>
      <c r="U18" s="62" t="s">
        <v>268</v>
      </c>
      <c r="V18" s="62" t="s">
        <v>268</v>
      </c>
      <c r="W18" s="62" t="s">
        <v>268</v>
      </c>
      <c r="X18" s="63" t="s">
        <v>270</v>
      </c>
      <c r="Y18" s="64" t="s">
        <v>268</v>
      </c>
      <c r="Z18" s="64" t="s">
        <v>268</v>
      </c>
      <c r="AA18" s="62" t="s">
        <v>268</v>
      </c>
      <c r="AB18" s="59" t="s">
        <v>268</v>
      </c>
      <c r="AC18" s="57" t="s">
        <v>324</v>
      </c>
      <c r="AD18" s="59" t="s">
        <v>274</v>
      </c>
      <c r="AE18" s="57" t="s">
        <v>325</v>
      </c>
      <c r="AF18" s="63" t="s">
        <v>465</v>
      </c>
      <c r="AG18" s="62" t="s">
        <v>267</v>
      </c>
      <c r="AH18" s="62" t="s">
        <v>267</v>
      </c>
      <c r="AI18" s="62" t="s">
        <v>267</v>
      </c>
      <c r="AJ18" s="62" t="s">
        <v>267</v>
      </c>
      <c r="AK18" s="62"/>
      <c r="AL18" s="62" t="s">
        <v>267</v>
      </c>
      <c r="AM18" s="62" t="s">
        <v>267</v>
      </c>
      <c r="AN18" s="62" t="s">
        <v>267</v>
      </c>
      <c r="AO18" s="62" t="s">
        <v>267</v>
      </c>
      <c r="AP18" s="62"/>
      <c r="AQ18" s="62"/>
      <c r="AR18" s="62"/>
      <c r="AS18" s="62"/>
      <c r="AT18" s="62"/>
      <c r="AU18" s="62" t="s">
        <v>267</v>
      </c>
      <c r="AV18" s="62"/>
      <c r="AW18" s="62"/>
      <c r="AX18" s="62"/>
      <c r="AY18" s="62"/>
      <c r="AZ18" s="62"/>
      <c r="BA18" s="62"/>
      <c r="BB18" s="62" t="s">
        <v>267</v>
      </c>
      <c r="BC18" s="62"/>
      <c r="BD18" s="62"/>
      <c r="BE18" s="62"/>
      <c r="BF18" s="62"/>
      <c r="BG18" s="62"/>
      <c r="BH18" s="62"/>
      <c r="BI18" s="62"/>
      <c r="BJ18" s="62"/>
      <c r="BK18" s="62"/>
      <c r="BL18" s="62"/>
      <c r="BM18" s="62"/>
      <c r="BN18" s="62"/>
      <c r="BO18" s="62" t="s">
        <v>267</v>
      </c>
      <c r="BP18" s="62"/>
      <c r="BQ18" s="62"/>
      <c r="BR18" s="62"/>
      <c r="BS18" s="62"/>
      <c r="BT18" s="62"/>
      <c r="BU18" s="62"/>
      <c r="BV18" s="62"/>
      <c r="BW18" s="62"/>
      <c r="BX18" s="62"/>
      <c r="BY18" s="62"/>
      <c r="BZ18" s="62" t="s">
        <v>267</v>
      </c>
      <c r="CA18" s="62"/>
      <c r="CB18" s="62"/>
      <c r="CC18" s="62"/>
      <c r="CD18" s="62"/>
      <c r="CE18" s="62"/>
      <c r="CF18" s="62"/>
      <c r="CG18" s="62"/>
      <c r="CH18" s="62"/>
      <c r="CI18" s="62"/>
      <c r="CJ18" s="62"/>
      <c r="CK18" s="62"/>
      <c r="CL18" s="62"/>
      <c r="CM18" s="62"/>
      <c r="CN18" s="62" t="s">
        <v>267</v>
      </c>
      <c r="CO18" s="62"/>
      <c r="CP18" s="62"/>
      <c r="CQ18" s="62"/>
      <c r="CR18" s="62"/>
      <c r="CS18" s="62"/>
      <c r="CT18" s="62"/>
      <c r="CU18" s="62"/>
      <c r="CV18" s="62"/>
      <c r="CW18" s="62"/>
      <c r="CX18" s="62"/>
      <c r="CY18" s="62" t="s">
        <v>267</v>
      </c>
      <c r="CZ18" s="62"/>
      <c r="DA18" s="62"/>
      <c r="DB18" s="62"/>
      <c r="DC18" s="62"/>
      <c r="DD18" s="62"/>
      <c r="DE18" s="62"/>
      <c r="DF18" s="62"/>
      <c r="DG18" s="62"/>
      <c r="DH18" s="62"/>
      <c r="DI18" s="62"/>
      <c r="DJ18" s="62"/>
      <c r="DK18" s="62"/>
      <c r="DL18" s="62"/>
      <c r="DM18" s="62"/>
      <c r="DN18" s="62" t="s">
        <v>267</v>
      </c>
      <c r="DO18" s="62"/>
      <c r="DP18" s="62" t="s">
        <v>121</v>
      </c>
      <c r="DQ18" s="62"/>
      <c r="DR18" s="62"/>
      <c r="DS18" s="62"/>
      <c r="DT18" s="62"/>
      <c r="DU18" s="62"/>
      <c r="DV18" s="62"/>
      <c r="DW18" s="62" t="s">
        <v>274</v>
      </c>
      <c r="DX18" s="62" t="s">
        <v>274</v>
      </c>
      <c r="DY18" s="62" t="s">
        <v>274</v>
      </c>
      <c r="DZ18" s="62" t="s">
        <v>274</v>
      </c>
      <c r="EA18" s="62" t="s">
        <v>274</v>
      </c>
      <c r="EB18" s="65" t="s">
        <v>472</v>
      </c>
      <c r="EC18" s="62" t="s">
        <v>326</v>
      </c>
      <c r="ED18" s="56"/>
      <c r="EE18" s="56"/>
      <c r="EF18" s="56"/>
      <c r="EG18" s="56"/>
      <c r="EH18" s="58"/>
      <c r="EI18" s="86"/>
      <c r="EJ18" s="86"/>
    </row>
    <row r="19" spans="1:140" ht="79.5" customHeight="1" outlineLevel="1" x14ac:dyDescent="0.25">
      <c r="A19" s="91"/>
      <c r="B19" s="126" t="s">
        <v>661</v>
      </c>
      <c r="C19" s="56" t="s">
        <v>660</v>
      </c>
      <c r="D19" s="56" t="s">
        <v>186</v>
      </c>
      <c r="E19" s="56" t="s">
        <v>333</v>
      </c>
      <c r="F19" s="57" t="s">
        <v>265</v>
      </c>
      <c r="G19" s="57" t="s">
        <v>623</v>
      </c>
      <c r="H19" s="58"/>
      <c r="I19" s="57" t="s">
        <v>196</v>
      </c>
      <c r="J19" s="57" t="s">
        <v>196</v>
      </c>
      <c r="K19" s="57" t="s">
        <v>448</v>
      </c>
      <c r="L19" s="57" t="s">
        <v>334</v>
      </c>
      <c r="M19" s="57" t="s">
        <v>267</v>
      </c>
      <c r="N19" s="57"/>
      <c r="O19" s="57"/>
      <c r="P19" s="57"/>
      <c r="Q19" s="57" t="s">
        <v>268</v>
      </c>
      <c r="R19" s="57" t="s">
        <v>268</v>
      </c>
      <c r="S19" s="57" t="s">
        <v>268</v>
      </c>
      <c r="T19" s="57" t="s">
        <v>269</v>
      </c>
      <c r="U19" s="57" t="s">
        <v>268</v>
      </c>
      <c r="V19" s="57" t="s">
        <v>268</v>
      </c>
      <c r="W19" s="57" t="s">
        <v>268</v>
      </c>
      <c r="X19" s="63" t="s">
        <v>270</v>
      </c>
      <c r="Y19" s="59" t="s">
        <v>268</v>
      </c>
      <c r="Z19" s="59" t="s">
        <v>268</v>
      </c>
      <c r="AA19" s="57" t="s">
        <v>271</v>
      </c>
      <c r="AB19" s="59" t="s">
        <v>269</v>
      </c>
      <c r="AC19" s="59"/>
      <c r="AD19" s="59" t="s">
        <v>274</v>
      </c>
      <c r="AE19" s="57" t="s">
        <v>196</v>
      </c>
      <c r="AF19" s="58" t="s">
        <v>335</v>
      </c>
      <c r="AG19" s="57" t="s">
        <v>267</v>
      </c>
      <c r="AH19" s="57"/>
      <c r="AI19" s="57" t="s">
        <v>267</v>
      </c>
      <c r="AJ19" s="57" t="s">
        <v>267</v>
      </c>
      <c r="AK19" s="57"/>
      <c r="AL19" s="57" t="s">
        <v>267</v>
      </c>
      <c r="AM19" s="57" t="s">
        <v>267</v>
      </c>
      <c r="AN19" s="57" t="s">
        <v>267</v>
      </c>
      <c r="AO19" s="57" t="s">
        <v>267</v>
      </c>
      <c r="AP19" s="57"/>
      <c r="AQ19" s="57"/>
      <c r="AR19" s="57"/>
      <c r="AS19" s="57"/>
      <c r="AT19" s="57"/>
      <c r="AU19" s="57"/>
      <c r="AV19" s="57"/>
      <c r="AW19" s="57"/>
      <c r="AX19" s="57"/>
      <c r="AY19" s="57"/>
      <c r="AZ19" s="57"/>
      <c r="BA19" s="57"/>
      <c r="BB19" s="57" t="s">
        <v>267</v>
      </c>
      <c r="BC19" s="57"/>
      <c r="BD19" s="57"/>
      <c r="BE19" s="57"/>
      <c r="BF19" s="57"/>
      <c r="BG19" s="57"/>
      <c r="BH19" s="57"/>
      <c r="BI19" s="57"/>
      <c r="BJ19" s="57"/>
      <c r="BK19" s="57"/>
      <c r="BL19" s="57"/>
      <c r="BM19" s="57"/>
      <c r="BN19" s="57"/>
      <c r="BO19" s="57" t="s">
        <v>267</v>
      </c>
      <c r="BP19" s="57"/>
      <c r="BQ19" s="57"/>
      <c r="BR19" s="57"/>
      <c r="BS19" s="57"/>
      <c r="BT19" s="57"/>
      <c r="BU19" s="57"/>
      <c r="BV19" s="57"/>
      <c r="BW19" s="57"/>
      <c r="BX19" s="57"/>
      <c r="BY19" s="57"/>
      <c r="BZ19" s="57" t="s">
        <v>267</v>
      </c>
      <c r="CA19" s="57"/>
      <c r="CB19" s="57"/>
      <c r="CC19" s="57"/>
      <c r="CD19" s="57"/>
      <c r="CE19" s="57"/>
      <c r="CF19" s="57"/>
      <c r="CG19" s="57"/>
      <c r="CH19" s="57"/>
      <c r="CI19" s="57"/>
      <c r="CJ19" s="57"/>
      <c r="CK19" s="57"/>
      <c r="CL19" s="57"/>
      <c r="CM19" s="57"/>
      <c r="CN19" s="57" t="s">
        <v>267</v>
      </c>
      <c r="CO19" s="57"/>
      <c r="CP19" s="57"/>
      <c r="CQ19" s="57"/>
      <c r="CR19" s="57"/>
      <c r="CS19" s="57"/>
      <c r="CT19" s="57"/>
      <c r="CU19" s="57"/>
      <c r="CV19" s="57"/>
      <c r="CW19" s="57"/>
      <c r="CX19" s="57"/>
      <c r="CY19" s="57" t="s">
        <v>267</v>
      </c>
      <c r="CZ19" s="57"/>
      <c r="DA19" s="57"/>
      <c r="DB19" s="57"/>
      <c r="DC19" s="57"/>
      <c r="DD19" s="57"/>
      <c r="DE19" s="57"/>
      <c r="DF19" s="57"/>
      <c r="DG19" s="57"/>
      <c r="DH19" s="57"/>
      <c r="DI19" s="57"/>
      <c r="DJ19" s="57"/>
      <c r="DK19" s="57"/>
      <c r="DL19" s="57"/>
      <c r="DM19" s="57"/>
      <c r="DN19" s="57" t="s">
        <v>267</v>
      </c>
      <c r="DO19" s="57"/>
      <c r="DP19" s="57" t="s">
        <v>121</v>
      </c>
      <c r="DQ19" s="62"/>
      <c r="DR19" s="62"/>
      <c r="DS19" s="62"/>
      <c r="DT19" s="62"/>
      <c r="DU19" s="62"/>
      <c r="DV19" s="62"/>
      <c r="DW19" s="62" t="s">
        <v>274</v>
      </c>
      <c r="DX19" s="62" t="s">
        <v>274</v>
      </c>
      <c r="DY19" s="62" t="s">
        <v>274</v>
      </c>
      <c r="DZ19" s="62" t="s">
        <v>274</v>
      </c>
      <c r="EA19" s="57" t="s">
        <v>274</v>
      </c>
      <c r="EB19" s="56"/>
      <c r="EC19" s="57"/>
      <c r="ED19" s="56"/>
      <c r="EE19" s="56" t="s">
        <v>336</v>
      </c>
      <c r="EF19" s="56"/>
      <c r="EG19" s="56"/>
      <c r="EH19" s="58"/>
      <c r="EI19" s="86"/>
      <c r="EJ19" s="86"/>
    </row>
    <row r="20" spans="1:140" ht="119.25" customHeight="1" outlineLevel="1" x14ac:dyDescent="0.25">
      <c r="A20" s="91"/>
      <c r="B20" s="126" t="s">
        <v>661</v>
      </c>
      <c r="C20" s="56" t="s">
        <v>660</v>
      </c>
      <c r="D20" s="56" t="s">
        <v>182</v>
      </c>
      <c r="E20" s="56" t="s">
        <v>337</v>
      </c>
      <c r="F20" s="57" t="s">
        <v>265</v>
      </c>
      <c r="G20" s="57" t="s">
        <v>623</v>
      </c>
      <c r="H20" s="58"/>
      <c r="I20" s="57" t="s">
        <v>196</v>
      </c>
      <c r="J20" s="57" t="s">
        <v>196</v>
      </c>
      <c r="K20" s="57" t="s">
        <v>448</v>
      </c>
      <c r="L20" s="57" t="s">
        <v>334</v>
      </c>
      <c r="M20" s="57"/>
      <c r="N20" s="57" t="s">
        <v>267</v>
      </c>
      <c r="O20" s="57"/>
      <c r="P20" s="57"/>
      <c r="Q20" s="57" t="s">
        <v>268</v>
      </c>
      <c r="R20" s="57" t="s">
        <v>268</v>
      </c>
      <c r="S20" s="57" t="s">
        <v>268</v>
      </c>
      <c r="T20" s="57" t="s">
        <v>272</v>
      </c>
      <c r="U20" s="57" t="s">
        <v>268</v>
      </c>
      <c r="V20" s="57" t="s">
        <v>268</v>
      </c>
      <c r="W20" s="57" t="s">
        <v>268</v>
      </c>
      <c r="X20" s="63" t="s">
        <v>270</v>
      </c>
      <c r="Y20" s="59" t="s">
        <v>268</v>
      </c>
      <c r="Z20" s="59" t="s">
        <v>268</v>
      </c>
      <c r="AA20" s="57" t="s">
        <v>269</v>
      </c>
      <c r="AB20" s="59" t="s">
        <v>269</v>
      </c>
      <c r="AC20" s="59"/>
      <c r="AD20" s="59" t="s">
        <v>274</v>
      </c>
      <c r="AE20" s="57" t="s">
        <v>196</v>
      </c>
      <c r="AF20" s="58" t="s">
        <v>338</v>
      </c>
      <c r="AG20" s="57"/>
      <c r="AH20" s="57"/>
      <c r="AI20" s="57" t="s">
        <v>267</v>
      </c>
      <c r="AJ20" s="57" t="s">
        <v>267</v>
      </c>
      <c r="AK20" s="57"/>
      <c r="AL20" s="57" t="s">
        <v>267</v>
      </c>
      <c r="AM20" s="57" t="s">
        <v>267</v>
      </c>
      <c r="AN20" s="57" t="s">
        <v>267</v>
      </c>
      <c r="AO20" s="57" t="s">
        <v>267</v>
      </c>
      <c r="AP20" s="57"/>
      <c r="AQ20" s="57"/>
      <c r="AR20" s="57"/>
      <c r="AS20" s="57"/>
      <c r="AT20" s="57"/>
      <c r="AU20" s="57"/>
      <c r="AV20" s="57"/>
      <c r="AW20" s="57"/>
      <c r="AX20" s="57"/>
      <c r="AY20" s="57"/>
      <c r="AZ20" s="57"/>
      <c r="BA20" s="57"/>
      <c r="BB20" s="57" t="s">
        <v>267</v>
      </c>
      <c r="BC20" s="57"/>
      <c r="BD20" s="57"/>
      <c r="BE20" s="57"/>
      <c r="BF20" s="57"/>
      <c r="BG20" s="57"/>
      <c r="BH20" s="57"/>
      <c r="BI20" s="57"/>
      <c r="BJ20" s="57"/>
      <c r="BK20" s="57"/>
      <c r="BL20" s="57"/>
      <c r="BM20" s="57"/>
      <c r="BN20" s="57"/>
      <c r="BO20" s="57" t="s">
        <v>267</v>
      </c>
      <c r="BP20" s="57"/>
      <c r="BQ20" s="57"/>
      <c r="BR20" s="57"/>
      <c r="BS20" s="57"/>
      <c r="BT20" s="57"/>
      <c r="BU20" s="57"/>
      <c r="BV20" s="57"/>
      <c r="BW20" s="57"/>
      <c r="BX20" s="57"/>
      <c r="BY20" s="57"/>
      <c r="BZ20" s="57" t="s">
        <v>267</v>
      </c>
      <c r="CA20" s="57"/>
      <c r="CB20" s="57"/>
      <c r="CC20" s="57"/>
      <c r="CD20" s="57"/>
      <c r="CE20" s="57"/>
      <c r="CF20" s="57"/>
      <c r="CG20" s="57"/>
      <c r="CH20" s="57"/>
      <c r="CI20" s="57"/>
      <c r="CJ20" s="57"/>
      <c r="CK20" s="57"/>
      <c r="CL20" s="57"/>
      <c r="CM20" s="57"/>
      <c r="CN20" s="57" t="s">
        <v>267</v>
      </c>
      <c r="CO20" s="57"/>
      <c r="CP20" s="57"/>
      <c r="CQ20" s="57"/>
      <c r="CR20" s="57"/>
      <c r="CS20" s="57"/>
      <c r="CT20" s="57"/>
      <c r="CU20" s="57"/>
      <c r="CV20" s="57"/>
      <c r="CW20" s="57"/>
      <c r="CX20" s="57"/>
      <c r="CY20" s="57" t="s">
        <v>267</v>
      </c>
      <c r="CZ20" s="57"/>
      <c r="DA20" s="57"/>
      <c r="DB20" s="57"/>
      <c r="DC20" s="57"/>
      <c r="DD20" s="57"/>
      <c r="DE20" s="57"/>
      <c r="DF20" s="57"/>
      <c r="DG20" s="57"/>
      <c r="DH20" s="57"/>
      <c r="DI20" s="57"/>
      <c r="DJ20" s="57"/>
      <c r="DK20" s="57"/>
      <c r="DL20" s="57"/>
      <c r="DM20" s="57"/>
      <c r="DN20" s="57" t="s">
        <v>267</v>
      </c>
      <c r="DO20" s="57"/>
      <c r="DP20" s="57" t="s">
        <v>121</v>
      </c>
      <c r="DQ20" s="62"/>
      <c r="DR20" s="62"/>
      <c r="DS20" s="62"/>
      <c r="DT20" s="62"/>
      <c r="DU20" s="62"/>
      <c r="DV20" s="62"/>
      <c r="DW20" s="62" t="s">
        <v>274</v>
      </c>
      <c r="DX20" s="62" t="s">
        <v>274</v>
      </c>
      <c r="DY20" s="62" t="s">
        <v>274</v>
      </c>
      <c r="DZ20" s="62" t="s">
        <v>274</v>
      </c>
      <c r="EA20" s="57" t="s">
        <v>274</v>
      </c>
      <c r="EB20" s="56" t="s">
        <v>300</v>
      </c>
      <c r="EC20" s="57" t="s">
        <v>339</v>
      </c>
      <c r="ED20" s="56"/>
      <c r="EE20" s="56"/>
      <c r="EF20" s="56"/>
      <c r="EG20" s="56"/>
      <c r="EH20" s="58"/>
      <c r="EI20" s="86"/>
      <c r="EJ20" s="86"/>
    </row>
    <row r="21" spans="1:140" ht="52.8" outlineLevel="1" x14ac:dyDescent="0.25">
      <c r="A21" s="91"/>
      <c r="B21" s="126" t="s">
        <v>661</v>
      </c>
      <c r="C21" s="56" t="s">
        <v>660</v>
      </c>
      <c r="D21" s="56" t="s">
        <v>457</v>
      </c>
      <c r="E21" s="56" t="s">
        <v>340</v>
      </c>
      <c r="F21" s="57" t="s">
        <v>265</v>
      </c>
      <c r="G21" s="57" t="s">
        <v>623</v>
      </c>
      <c r="H21" s="58"/>
      <c r="I21" s="57" t="s">
        <v>196</v>
      </c>
      <c r="J21" s="57" t="s">
        <v>196</v>
      </c>
      <c r="K21" s="57" t="s">
        <v>341</v>
      </c>
      <c r="L21" s="57" t="s">
        <v>342</v>
      </c>
      <c r="M21" s="57"/>
      <c r="N21" s="57" t="s">
        <v>267</v>
      </c>
      <c r="O21" s="57"/>
      <c r="P21" s="57"/>
      <c r="Q21" s="57" t="s">
        <v>268</v>
      </c>
      <c r="R21" s="57" t="s">
        <v>268</v>
      </c>
      <c r="S21" s="57" t="s">
        <v>268</v>
      </c>
      <c r="T21" s="57" t="s">
        <v>268</v>
      </c>
      <c r="U21" s="57" t="s">
        <v>268</v>
      </c>
      <c r="V21" s="57" t="s">
        <v>268</v>
      </c>
      <c r="W21" s="57" t="s">
        <v>268</v>
      </c>
      <c r="X21" s="58" t="s">
        <v>343</v>
      </c>
      <c r="Y21" s="59" t="s">
        <v>268</v>
      </c>
      <c r="Z21" s="59" t="s">
        <v>268</v>
      </c>
      <c r="AA21" s="57" t="s">
        <v>272</v>
      </c>
      <c r="AB21" s="59" t="s">
        <v>269</v>
      </c>
      <c r="AC21" s="59"/>
      <c r="AD21" s="59" t="s">
        <v>274</v>
      </c>
      <c r="AE21" s="57" t="s">
        <v>196</v>
      </c>
      <c r="AF21" s="58" t="s">
        <v>463</v>
      </c>
      <c r="AG21" s="57" t="s">
        <v>267</v>
      </c>
      <c r="AH21" s="57"/>
      <c r="AI21" s="57" t="s">
        <v>267</v>
      </c>
      <c r="AJ21" s="57" t="s">
        <v>267</v>
      </c>
      <c r="AK21" s="57"/>
      <c r="AL21" s="57" t="s">
        <v>267</v>
      </c>
      <c r="AM21" s="57" t="s">
        <v>267</v>
      </c>
      <c r="AN21" s="57" t="s">
        <v>267</v>
      </c>
      <c r="AO21" s="57" t="s">
        <v>267</v>
      </c>
      <c r="AP21" s="57"/>
      <c r="AQ21" s="57"/>
      <c r="AR21" s="57"/>
      <c r="AS21" s="57"/>
      <c r="AT21" s="57"/>
      <c r="AU21" s="57"/>
      <c r="AV21" s="57"/>
      <c r="AW21" s="57"/>
      <c r="AX21" s="57"/>
      <c r="AY21" s="57"/>
      <c r="AZ21" s="57"/>
      <c r="BA21" s="57"/>
      <c r="BB21" s="57"/>
      <c r="BC21" s="57"/>
      <c r="BD21" s="57"/>
      <c r="BE21" s="57"/>
      <c r="BF21" s="57"/>
      <c r="BG21" s="57"/>
      <c r="BH21" s="57"/>
      <c r="BI21" s="57"/>
      <c r="BJ21" s="57"/>
      <c r="BK21" s="57"/>
      <c r="BL21" s="57"/>
      <c r="BM21" s="57"/>
      <c r="BN21" s="57"/>
      <c r="BO21" s="57" t="s">
        <v>267</v>
      </c>
      <c r="BP21" s="57"/>
      <c r="BQ21" s="57"/>
      <c r="BR21" s="57"/>
      <c r="BS21" s="57"/>
      <c r="BT21" s="57"/>
      <c r="BU21" s="57"/>
      <c r="BV21" s="57"/>
      <c r="BW21" s="57"/>
      <c r="BX21" s="57"/>
      <c r="BY21" s="57"/>
      <c r="BZ21" s="57" t="s">
        <v>267</v>
      </c>
      <c r="CA21" s="57"/>
      <c r="CB21" s="57"/>
      <c r="CC21" s="57"/>
      <c r="CD21" s="57"/>
      <c r="CE21" s="57"/>
      <c r="CF21" s="57"/>
      <c r="CG21" s="57"/>
      <c r="CH21" s="57"/>
      <c r="CI21" s="57"/>
      <c r="CJ21" s="57"/>
      <c r="CK21" s="57"/>
      <c r="CL21" s="57"/>
      <c r="CM21" s="57"/>
      <c r="CN21" s="57" t="s">
        <v>267</v>
      </c>
      <c r="CO21" s="57"/>
      <c r="CP21" s="57"/>
      <c r="CQ21" s="57"/>
      <c r="CR21" s="57"/>
      <c r="CS21" s="57"/>
      <c r="CT21" s="57"/>
      <c r="CU21" s="57"/>
      <c r="CV21" s="57"/>
      <c r="CW21" s="57"/>
      <c r="CX21" s="57"/>
      <c r="CY21" s="57" t="s">
        <v>267</v>
      </c>
      <c r="CZ21" s="57"/>
      <c r="DA21" s="57"/>
      <c r="DB21" s="57"/>
      <c r="DC21" s="57"/>
      <c r="DD21" s="57"/>
      <c r="DE21" s="57"/>
      <c r="DF21" s="57"/>
      <c r="DG21" s="57"/>
      <c r="DH21" s="57"/>
      <c r="DI21" s="57"/>
      <c r="DJ21" s="57"/>
      <c r="DK21" s="57"/>
      <c r="DL21" s="57"/>
      <c r="DM21" s="57"/>
      <c r="DN21" s="57" t="s">
        <v>267</v>
      </c>
      <c r="DO21" s="57"/>
      <c r="DP21" s="57" t="s">
        <v>121</v>
      </c>
      <c r="DQ21" s="57"/>
      <c r="DR21" s="57"/>
      <c r="DS21" s="57"/>
      <c r="DT21" s="57"/>
      <c r="DU21" s="57"/>
      <c r="DV21" s="57"/>
      <c r="DW21" s="57" t="s">
        <v>274</v>
      </c>
      <c r="DX21" s="57" t="s">
        <v>274</v>
      </c>
      <c r="DY21" s="57" t="s">
        <v>274</v>
      </c>
      <c r="DZ21" s="57" t="s">
        <v>275</v>
      </c>
      <c r="EA21" s="57" t="s">
        <v>274</v>
      </c>
      <c r="EB21" s="56" t="s">
        <v>300</v>
      </c>
      <c r="EC21" s="57" t="s">
        <v>339</v>
      </c>
      <c r="ED21" s="56"/>
      <c r="EE21" s="56"/>
      <c r="EF21" s="56"/>
      <c r="EG21" s="56"/>
      <c r="EH21" s="58"/>
      <c r="EI21" s="86"/>
      <c r="EJ21" s="86"/>
    </row>
    <row r="22" spans="1:140" ht="39.6" outlineLevel="1" x14ac:dyDescent="0.25">
      <c r="A22" s="91"/>
      <c r="B22" s="126" t="s">
        <v>661</v>
      </c>
      <c r="C22" s="56" t="s">
        <v>660</v>
      </c>
      <c r="D22" s="56" t="s">
        <v>174</v>
      </c>
      <c r="E22" s="56" t="s">
        <v>412</v>
      </c>
      <c r="F22" s="57" t="s">
        <v>279</v>
      </c>
      <c r="G22" s="57" t="s">
        <v>623</v>
      </c>
      <c r="H22" s="58"/>
      <c r="I22" s="57" t="s">
        <v>198</v>
      </c>
      <c r="J22" s="57" t="s">
        <v>198</v>
      </c>
      <c r="K22" s="57" t="s">
        <v>448</v>
      </c>
      <c r="L22" s="62" t="s">
        <v>413</v>
      </c>
      <c r="M22" s="62" t="s">
        <v>267</v>
      </c>
      <c r="N22" s="62"/>
      <c r="O22" s="62"/>
      <c r="P22" s="62"/>
      <c r="Q22" s="62" t="s">
        <v>268</v>
      </c>
      <c r="R22" s="62" t="s">
        <v>268</v>
      </c>
      <c r="S22" s="62" t="s">
        <v>268</v>
      </c>
      <c r="T22" s="62" t="s">
        <v>269</v>
      </c>
      <c r="U22" s="62" t="s">
        <v>269</v>
      </c>
      <c r="V22" s="62" t="s">
        <v>268</v>
      </c>
      <c r="W22" s="62" t="s">
        <v>268</v>
      </c>
      <c r="X22" s="58" t="s">
        <v>280</v>
      </c>
      <c r="Y22" s="64" t="s">
        <v>268</v>
      </c>
      <c r="Z22" s="64" t="s">
        <v>272</v>
      </c>
      <c r="AA22" s="62" t="s">
        <v>272</v>
      </c>
      <c r="AB22" s="59" t="s">
        <v>271</v>
      </c>
      <c r="AC22" s="59"/>
      <c r="AD22" s="59" t="s">
        <v>274</v>
      </c>
      <c r="AE22" s="57" t="s">
        <v>198</v>
      </c>
      <c r="AF22" s="63" t="s">
        <v>414</v>
      </c>
      <c r="AG22" s="62" t="s">
        <v>267</v>
      </c>
      <c r="AH22" s="62"/>
      <c r="AI22" s="62"/>
      <c r="AJ22" s="62"/>
      <c r="AK22" s="62"/>
      <c r="AL22" s="62" t="s">
        <v>267</v>
      </c>
      <c r="AM22" s="62" t="s">
        <v>267</v>
      </c>
      <c r="AN22" s="62" t="s">
        <v>267</v>
      </c>
      <c r="AO22" s="62" t="s">
        <v>267</v>
      </c>
      <c r="AP22" s="62" t="s">
        <v>267</v>
      </c>
      <c r="AQ22" s="62"/>
      <c r="AR22" s="62"/>
      <c r="AS22" s="62"/>
      <c r="AT22" s="62"/>
      <c r="AU22" s="62"/>
      <c r="AV22" s="62"/>
      <c r="AW22" s="62"/>
      <c r="AX22" s="62"/>
      <c r="AY22" s="62"/>
      <c r="AZ22" s="62"/>
      <c r="BA22" s="62"/>
      <c r="BB22" s="62"/>
      <c r="BC22" s="62"/>
      <c r="BD22" s="62"/>
      <c r="BE22" s="62"/>
      <c r="BF22" s="62"/>
      <c r="BG22" s="62"/>
      <c r="BH22" s="62"/>
      <c r="BI22" s="62"/>
      <c r="BJ22" s="62"/>
      <c r="BK22" s="62" t="s">
        <v>267</v>
      </c>
      <c r="BL22" s="62"/>
      <c r="BM22" s="62"/>
      <c r="BN22" s="62"/>
      <c r="BO22" s="62" t="s">
        <v>267</v>
      </c>
      <c r="BP22" s="62"/>
      <c r="BQ22" s="62"/>
      <c r="BR22" s="62"/>
      <c r="BS22" s="62"/>
      <c r="BT22" s="62"/>
      <c r="BU22" s="62"/>
      <c r="BV22" s="62"/>
      <c r="BW22" s="62"/>
      <c r="BX22" s="62"/>
      <c r="BY22" s="62"/>
      <c r="BZ22" s="62" t="s">
        <v>267</v>
      </c>
      <c r="CA22" s="62"/>
      <c r="CB22" s="62"/>
      <c r="CC22" s="62"/>
      <c r="CD22" s="62" t="s">
        <v>267</v>
      </c>
      <c r="CE22" s="62"/>
      <c r="CF22" s="62"/>
      <c r="CG22" s="62"/>
      <c r="CH22" s="62"/>
      <c r="CI22" s="62"/>
      <c r="CJ22" s="62" t="s">
        <v>267</v>
      </c>
      <c r="CK22" s="62"/>
      <c r="CL22" s="62"/>
      <c r="CM22" s="62"/>
      <c r="CN22" s="62" t="s">
        <v>267</v>
      </c>
      <c r="CO22" s="62"/>
      <c r="CP22" s="62"/>
      <c r="CQ22" s="62"/>
      <c r="CR22" s="62"/>
      <c r="CS22" s="62"/>
      <c r="CT22" s="62"/>
      <c r="CU22" s="62"/>
      <c r="CV22" s="62"/>
      <c r="CW22" s="62"/>
      <c r="CX22" s="62"/>
      <c r="CY22" s="62" t="s">
        <v>267</v>
      </c>
      <c r="CZ22" s="62"/>
      <c r="DA22" s="62"/>
      <c r="DB22" s="62"/>
      <c r="DC22" s="62" t="s">
        <v>267</v>
      </c>
      <c r="DD22" s="62"/>
      <c r="DE22" s="62"/>
      <c r="DF22" s="62"/>
      <c r="DG22" s="62"/>
      <c r="DH22" s="62"/>
      <c r="DI22" s="62"/>
      <c r="DJ22" s="62"/>
      <c r="DK22" s="62"/>
      <c r="DL22" s="62"/>
      <c r="DM22" s="62"/>
      <c r="DN22" s="62" t="s">
        <v>267</v>
      </c>
      <c r="DO22" s="62"/>
      <c r="DP22" s="62" t="s">
        <v>121</v>
      </c>
      <c r="DQ22" s="62"/>
      <c r="DR22" s="62"/>
      <c r="DS22" s="62"/>
      <c r="DT22" s="62"/>
      <c r="DU22" s="62"/>
      <c r="DV22" s="62"/>
      <c r="DW22" s="62" t="s">
        <v>275</v>
      </c>
      <c r="DX22" s="62" t="s">
        <v>274</v>
      </c>
      <c r="DY22" s="62" t="s">
        <v>275</v>
      </c>
      <c r="DZ22" s="62" t="s">
        <v>275</v>
      </c>
      <c r="EA22" s="62" t="s">
        <v>274</v>
      </c>
      <c r="EB22" s="65" t="s">
        <v>415</v>
      </c>
      <c r="EC22" s="62" t="s">
        <v>275</v>
      </c>
      <c r="ED22" s="56"/>
      <c r="EE22" s="56"/>
      <c r="EF22" s="56"/>
      <c r="EG22" s="56"/>
      <c r="EH22" s="58"/>
      <c r="EI22" s="86"/>
      <c r="EJ22" s="86"/>
    </row>
    <row r="23" spans="1:140" ht="52.8" outlineLevel="1" x14ac:dyDescent="0.25">
      <c r="A23" s="91"/>
      <c r="B23" s="126" t="s">
        <v>661</v>
      </c>
      <c r="C23" s="56" t="s">
        <v>660</v>
      </c>
      <c r="D23" s="56" t="s">
        <v>175</v>
      </c>
      <c r="E23" s="56" t="s">
        <v>416</v>
      </c>
      <c r="F23" s="57" t="s">
        <v>279</v>
      </c>
      <c r="G23" s="57" t="s">
        <v>623</v>
      </c>
      <c r="H23" s="58"/>
      <c r="I23" s="57" t="s">
        <v>198</v>
      </c>
      <c r="J23" s="57" t="s">
        <v>198</v>
      </c>
      <c r="K23" s="57" t="s">
        <v>204</v>
      </c>
      <c r="L23" s="57" t="s">
        <v>417</v>
      </c>
      <c r="M23" s="57" t="s">
        <v>267</v>
      </c>
      <c r="N23" s="57" t="s">
        <v>83</v>
      </c>
      <c r="O23" s="62"/>
      <c r="P23" s="57"/>
      <c r="Q23" s="57" t="s">
        <v>269</v>
      </c>
      <c r="R23" s="57" t="s">
        <v>269</v>
      </c>
      <c r="S23" s="57" t="s">
        <v>269</v>
      </c>
      <c r="T23" s="57" t="s">
        <v>269</v>
      </c>
      <c r="U23" s="57" t="s">
        <v>269</v>
      </c>
      <c r="V23" s="57" t="s">
        <v>269</v>
      </c>
      <c r="W23" s="57" t="s">
        <v>269</v>
      </c>
      <c r="X23" s="58" t="s">
        <v>280</v>
      </c>
      <c r="Y23" s="59" t="s">
        <v>269</v>
      </c>
      <c r="Z23" s="59" t="s">
        <v>272</v>
      </c>
      <c r="AA23" s="57" t="s">
        <v>269</v>
      </c>
      <c r="AB23" s="59" t="s">
        <v>271</v>
      </c>
      <c r="AC23" s="59"/>
      <c r="AD23" s="59" t="s">
        <v>275</v>
      </c>
      <c r="AE23" s="57"/>
      <c r="AF23" s="58" t="s">
        <v>418</v>
      </c>
      <c r="AG23" s="57" t="s">
        <v>419</v>
      </c>
      <c r="AH23" s="57"/>
      <c r="AI23" s="57"/>
      <c r="AJ23" s="57"/>
      <c r="AK23" s="57"/>
      <c r="AL23" s="57" t="s">
        <v>267</v>
      </c>
      <c r="AM23" s="57"/>
      <c r="AN23" s="57" t="s">
        <v>267</v>
      </c>
      <c r="AO23" s="57" t="s">
        <v>267</v>
      </c>
      <c r="AP23" s="57" t="s">
        <v>267</v>
      </c>
      <c r="AQ23" s="57"/>
      <c r="AR23" s="57"/>
      <c r="AS23" s="57"/>
      <c r="AT23" s="57"/>
      <c r="AU23" s="57"/>
      <c r="AV23" s="57"/>
      <c r="AW23" s="57"/>
      <c r="AX23" s="57"/>
      <c r="AY23" s="57"/>
      <c r="AZ23" s="57"/>
      <c r="BA23" s="57"/>
      <c r="BB23" s="57" t="s">
        <v>267</v>
      </c>
      <c r="BC23" s="57"/>
      <c r="BD23" s="57"/>
      <c r="BE23" s="57"/>
      <c r="BF23" s="57"/>
      <c r="BG23" s="57"/>
      <c r="BH23" s="57"/>
      <c r="BI23" s="57"/>
      <c r="BJ23" s="57"/>
      <c r="BK23" s="57"/>
      <c r="BL23" s="57"/>
      <c r="BM23" s="57"/>
      <c r="BN23" s="57"/>
      <c r="BO23" s="57"/>
      <c r="BP23" s="57"/>
      <c r="BQ23" s="57"/>
      <c r="BR23" s="57"/>
      <c r="BS23" s="57"/>
      <c r="BT23" s="57"/>
      <c r="BU23" s="57"/>
      <c r="BV23" s="57"/>
      <c r="BW23" s="57"/>
      <c r="BX23" s="57"/>
      <c r="BY23" s="57"/>
      <c r="BZ23" s="57"/>
      <c r="CA23" s="57"/>
      <c r="CB23" s="57"/>
      <c r="CC23" s="57"/>
      <c r="CD23" s="57"/>
      <c r="CE23" s="57"/>
      <c r="CF23" s="57"/>
      <c r="CG23" s="57"/>
      <c r="CH23" s="57"/>
      <c r="CI23" s="57"/>
      <c r="CJ23" s="57"/>
      <c r="CK23" s="57"/>
      <c r="CL23" s="57"/>
      <c r="CM23" s="57"/>
      <c r="CN23" s="57"/>
      <c r="CO23" s="57"/>
      <c r="CP23" s="57"/>
      <c r="CQ23" s="57"/>
      <c r="CR23" s="57"/>
      <c r="CS23" s="57"/>
      <c r="CT23" s="57"/>
      <c r="CU23" s="57"/>
      <c r="CV23" s="57"/>
      <c r="CW23" s="57"/>
      <c r="CX23" s="57"/>
      <c r="CY23" s="57"/>
      <c r="CZ23" s="57"/>
      <c r="DA23" s="57"/>
      <c r="DB23" s="57"/>
      <c r="DC23" s="57"/>
      <c r="DD23" s="57"/>
      <c r="DE23" s="57"/>
      <c r="DF23" s="57"/>
      <c r="DG23" s="57"/>
      <c r="DH23" s="57"/>
      <c r="DI23" s="57"/>
      <c r="DJ23" s="57"/>
      <c r="DK23" s="57"/>
      <c r="DL23" s="57"/>
      <c r="DM23" s="57"/>
      <c r="DN23" s="57"/>
      <c r="DO23" s="57"/>
      <c r="DP23" s="57" t="s">
        <v>121</v>
      </c>
      <c r="DQ23" s="62"/>
      <c r="DR23" s="62"/>
      <c r="DS23" s="62"/>
      <c r="DT23" s="62"/>
      <c r="DU23" s="62"/>
      <c r="DV23" s="62"/>
      <c r="DW23" s="62" t="s">
        <v>275</v>
      </c>
      <c r="DX23" s="62" t="s">
        <v>274</v>
      </c>
      <c r="DY23" s="62" t="s">
        <v>275</v>
      </c>
      <c r="DZ23" s="62" t="s">
        <v>275</v>
      </c>
      <c r="EA23" s="57" t="s">
        <v>275</v>
      </c>
      <c r="EB23" s="56" t="s">
        <v>362</v>
      </c>
      <c r="EC23" s="57" t="s">
        <v>275</v>
      </c>
      <c r="ED23" s="56"/>
      <c r="EE23" s="56"/>
      <c r="EF23" s="56"/>
      <c r="EG23" s="56"/>
      <c r="EH23" s="58"/>
      <c r="EI23" s="86"/>
      <c r="EJ23" s="86"/>
    </row>
    <row r="24" spans="1:140" ht="52.8" outlineLevel="1" x14ac:dyDescent="0.25">
      <c r="A24" s="91"/>
      <c r="B24" s="121" t="s">
        <v>388</v>
      </c>
      <c r="C24" s="56" t="s">
        <v>388</v>
      </c>
      <c r="D24" s="65" t="s">
        <v>170</v>
      </c>
      <c r="E24" s="56" t="s">
        <v>278</v>
      </c>
      <c r="F24" s="57" t="s">
        <v>279</v>
      </c>
      <c r="G24" s="57" t="s">
        <v>623</v>
      </c>
      <c r="H24" s="58"/>
      <c r="I24" s="57" t="s">
        <v>199</v>
      </c>
      <c r="J24" s="57" t="s">
        <v>199</v>
      </c>
      <c r="K24" s="57" t="s">
        <v>448</v>
      </c>
      <c r="L24" s="62" t="s">
        <v>266</v>
      </c>
      <c r="M24" s="57"/>
      <c r="N24" s="57" t="s">
        <v>267</v>
      </c>
      <c r="O24" s="57"/>
      <c r="P24" s="57"/>
      <c r="Q24" s="57" t="s">
        <v>268</v>
      </c>
      <c r="R24" s="57" t="s">
        <v>268</v>
      </c>
      <c r="S24" s="57" t="s">
        <v>269</v>
      </c>
      <c r="T24" s="57" t="s">
        <v>269</v>
      </c>
      <c r="U24" s="57" t="s">
        <v>268</v>
      </c>
      <c r="V24" s="57" t="s">
        <v>268</v>
      </c>
      <c r="W24" s="57" t="s">
        <v>268</v>
      </c>
      <c r="X24" s="58" t="s">
        <v>280</v>
      </c>
      <c r="Y24" s="59" t="s">
        <v>269</v>
      </c>
      <c r="Z24" s="59" t="s">
        <v>271</v>
      </c>
      <c r="AA24" s="62" t="s">
        <v>271</v>
      </c>
      <c r="AB24" s="59" t="s">
        <v>271</v>
      </c>
      <c r="AC24" s="59"/>
      <c r="AD24" s="59" t="s">
        <v>274</v>
      </c>
      <c r="AE24" s="57" t="s">
        <v>199</v>
      </c>
      <c r="AF24" s="63" t="s">
        <v>468</v>
      </c>
      <c r="AG24" s="62" t="s">
        <v>267</v>
      </c>
      <c r="AH24" s="62"/>
      <c r="AI24" s="62" t="s">
        <v>267</v>
      </c>
      <c r="AJ24" s="62" t="s">
        <v>267</v>
      </c>
      <c r="AK24" s="62"/>
      <c r="AL24" s="62" t="s">
        <v>267</v>
      </c>
      <c r="AM24" s="62" t="s">
        <v>267</v>
      </c>
      <c r="AN24" s="62" t="s">
        <v>267</v>
      </c>
      <c r="AO24" s="62" t="s">
        <v>267</v>
      </c>
      <c r="AP24" s="62"/>
      <c r="AQ24" s="62"/>
      <c r="AR24" s="62"/>
      <c r="AS24" s="62"/>
      <c r="AT24" s="62" t="s">
        <v>267</v>
      </c>
      <c r="AU24" s="62" t="s">
        <v>267</v>
      </c>
      <c r="AV24" s="62"/>
      <c r="AW24" s="62"/>
      <c r="AX24" s="62"/>
      <c r="AY24" s="62"/>
      <c r="AZ24" s="62"/>
      <c r="BA24" s="62"/>
      <c r="BB24" s="62" t="s">
        <v>267</v>
      </c>
      <c r="BC24" s="62"/>
      <c r="BD24" s="62" t="s">
        <v>267</v>
      </c>
      <c r="BE24" s="62"/>
      <c r="BF24" s="62"/>
      <c r="BG24" s="62"/>
      <c r="BH24" s="62"/>
      <c r="BI24" s="62"/>
      <c r="BJ24" s="62"/>
      <c r="BK24" s="62"/>
      <c r="BL24" s="62"/>
      <c r="BM24" s="62"/>
      <c r="BN24" s="62"/>
      <c r="BO24" s="62" t="s">
        <v>267</v>
      </c>
      <c r="BP24" s="62"/>
      <c r="BQ24" s="62"/>
      <c r="BR24" s="62"/>
      <c r="BS24" s="62"/>
      <c r="BT24" s="62"/>
      <c r="BU24" s="62"/>
      <c r="BV24" s="62"/>
      <c r="BW24" s="62"/>
      <c r="BX24" s="62"/>
      <c r="BY24" s="62"/>
      <c r="BZ24" s="62" t="s">
        <v>267</v>
      </c>
      <c r="CA24" s="62"/>
      <c r="CB24" s="62"/>
      <c r="CC24" s="62"/>
      <c r="CD24" s="62"/>
      <c r="CE24" s="62"/>
      <c r="CF24" s="62"/>
      <c r="CG24" s="62"/>
      <c r="CH24" s="62"/>
      <c r="CI24" s="62"/>
      <c r="CJ24" s="62"/>
      <c r="CK24" s="62"/>
      <c r="CL24" s="62"/>
      <c r="CM24" s="62"/>
      <c r="CN24" s="62" t="s">
        <v>267</v>
      </c>
      <c r="CO24" s="62"/>
      <c r="CP24" s="62"/>
      <c r="CQ24" s="62"/>
      <c r="CR24" s="62"/>
      <c r="CS24" s="62"/>
      <c r="CT24" s="62"/>
      <c r="CU24" s="62"/>
      <c r="CV24" s="62"/>
      <c r="CW24" s="62"/>
      <c r="CX24" s="62"/>
      <c r="CY24" s="62" t="s">
        <v>267</v>
      </c>
      <c r="CZ24" s="62"/>
      <c r="DA24" s="62"/>
      <c r="DB24" s="62"/>
      <c r="DC24" s="62"/>
      <c r="DD24" s="62"/>
      <c r="DE24" s="62"/>
      <c r="DF24" s="62"/>
      <c r="DG24" s="62"/>
      <c r="DH24" s="62"/>
      <c r="DI24" s="62"/>
      <c r="DJ24" s="62"/>
      <c r="DK24" s="62"/>
      <c r="DL24" s="62"/>
      <c r="DM24" s="62"/>
      <c r="DN24" s="62" t="s">
        <v>267</v>
      </c>
      <c r="DO24" s="62"/>
      <c r="DP24" s="62" t="s">
        <v>121</v>
      </c>
      <c r="DQ24" s="62"/>
      <c r="DR24" s="62"/>
      <c r="DS24" s="62"/>
      <c r="DT24" s="62"/>
      <c r="DU24" s="62"/>
      <c r="DV24" s="62"/>
      <c r="DW24" s="62" t="s">
        <v>275</v>
      </c>
      <c r="DX24" s="62" t="s">
        <v>274</v>
      </c>
      <c r="DY24" s="62" t="s">
        <v>275</v>
      </c>
      <c r="DZ24" s="62" t="s">
        <v>275</v>
      </c>
      <c r="EA24" s="57" t="s">
        <v>275</v>
      </c>
      <c r="EB24" s="56" t="s">
        <v>281</v>
      </c>
      <c r="EC24" s="57" t="s">
        <v>275</v>
      </c>
      <c r="ED24" s="56"/>
      <c r="EE24" s="56"/>
      <c r="EF24" s="56"/>
      <c r="EG24" s="56"/>
      <c r="EH24" s="58"/>
      <c r="EI24" s="86"/>
      <c r="EJ24" s="86"/>
    </row>
    <row r="25" spans="1:140" ht="26.4" outlineLevel="1" x14ac:dyDescent="0.25">
      <c r="A25" s="91"/>
      <c r="B25" s="121" t="s">
        <v>388</v>
      </c>
      <c r="C25" s="56" t="s">
        <v>388</v>
      </c>
      <c r="D25" s="56" t="s">
        <v>692</v>
      </c>
      <c r="E25" s="56"/>
      <c r="F25" s="57" t="s">
        <v>265</v>
      </c>
      <c r="G25" s="57" t="s">
        <v>623</v>
      </c>
      <c r="H25" s="58"/>
      <c r="I25" s="57" t="s">
        <v>199</v>
      </c>
      <c r="J25" s="57" t="s">
        <v>199</v>
      </c>
      <c r="K25" s="57" t="s">
        <v>198</v>
      </c>
      <c r="L25" s="57" t="s">
        <v>295</v>
      </c>
      <c r="M25" s="57"/>
      <c r="N25" s="57" t="s">
        <v>267</v>
      </c>
      <c r="O25" s="57"/>
      <c r="P25" s="57"/>
      <c r="Q25" s="57" t="s">
        <v>268</v>
      </c>
      <c r="R25" s="57" t="s">
        <v>268</v>
      </c>
      <c r="S25" s="57" t="s">
        <v>269</v>
      </c>
      <c r="T25" s="57" t="s">
        <v>269</v>
      </c>
      <c r="U25" s="57" t="s">
        <v>268</v>
      </c>
      <c r="V25" s="57" t="s">
        <v>268</v>
      </c>
      <c r="W25" s="57" t="s">
        <v>268</v>
      </c>
      <c r="X25" s="58" t="s">
        <v>280</v>
      </c>
      <c r="Y25" s="59" t="s">
        <v>271</v>
      </c>
      <c r="Z25" s="59" t="s">
        <v>271</v>
      </c>
      <c r="AA25" s="57" t="s">
        <v>269</v>
      </c>
      <c r="AB25" s="59" t="s">
        <v>269</v>
      </c>
      <c r="AC25" s="59"/>
      <c r="AD25" s="59" t="s">
        <v>274</v>
      </c>
      <c r="AE25" s="57" t="s">
        <v>199</v>
      </c>
      <c r="AF25" s="58"/>
      <c r="AG25" s="57" t="s">
        <v>267</v>
      </c>
      <c r="AH25" s="57"/>
      <c r="AI25" s="57" t="s">
        <v>267</v>
      </c>
      <c r="AJ25" s="57" t="s">
        <v>267</v>
      </c>
      <c r="AK25" s="57"/>
      <c r="AL25" s="57" t="s">
        <v>267</v>
      </c>
      <c r="AM25" s="57" t="s">
        <v>267</v>
      </c>
      <c r="AN25" s="57" t="s">
        <v>267</v>
      </c>
      <c r="AO25" s="57" t="s">
        <v>267</v>
      </c>
      <c r="AP25" s="57"/>
      <c r="AQ25" s="57"/>
      <c r="AR25" s="57"/>
      <c r="AS25" s="57"/>
      <c r="AT25" s="57" t="s">
        <v>267</v>
      </c>
      <c r="AU25" s="57"/>
      <c r="AV25" s="57"/>
      <c r="AW25" s="57"/>
      <c r="AX25" s="57"/>
      <c r="AY25" s="57"/>
      <c r="AZ25" s="57"/>
      <c r="BA25" s="57"/>
      <c r="BB25" s="57" t="s">
        <v>267</v>
      </c>
      <c r="BC25" s="57"/>
      <c r="BD25" s="57" t="s">
        <v>83</v>
      </c>
      <c r="BE25" s="57"/>
      <c r="BF25" s="57"/>
      <c r="BG25" s="57"/>
      <c r="BH25" s="57"/>
      <c r="BI25" s="57"/>
      <c r="BJ25" s="57"/>
      <c r="BK25" s="57"/>
      <c r="BL25" s="57"/>
      <c r="BM25" s="57"/>
      <c r="BN25" s="57"/>
      <c r="BO25" s="57" t="s">
        <v>267</v>
      </c>
      <c r="BP25" s="57"/>
      <c r="BQ25" s="57"/>
      <c r="BR25" s="57"/>
      <c r="BS25" s="57"/>
      <c r="BT25" s="57"/>
      <c r="BU25" s="57"/>
      <c r="BV25" s="57"/>
      <c r="BW25" s="57"/>
      <c r="BX25" s="57"/>
      <c r="BY25" s="57"/>
      <c r="BZ25" s="57" t="s">
        <v>267</v>
      </c>
      <c r="CA25" s="57"/>
      <c r="CB25" s="57"/>
      <c r="CC25" s="57"/>
      <c r="CD25" s="57"/>
      <c r="CE25" s="57"/>
      <c r="CF25" s="57"/>
      <c r="CG25" s="57"/>
      <c r="CH25" s="57"/>
      <c r="CI25" s="57"/>
      <c r="CJ25" s="57"/>
      <c r="CK25" s="57"/>
      <c r="CL25" s="57"/>
      <c r="CM25" s="57"/>
      <c r="CN25" s="57" t="s">
        <v>267</v>
      </c>
      <c r="CO25" s="57"/>
      <c r="CP25" s="57"/>
      <c r="CQ25" s="57"/>
      <c r="CR25" s="57"/>
      <c r="CS25" s="57"/>
      <c r="CT25" s="57"/>
      <c r="CU25" s="57"/>
      <c r="CV25" s="57"/>
      <c r="CW25" s="57"/>
      <c r="CX25" s="57"/>
      <c r="CY25" s="57" t="s">
        <v>267</v>
      </c>
      <c r="CZ25" s="57"/>
      <c r="DA25" s="57"/>
      <c r="DB25" s="57"/>
      <c r="DC25" s="57"/>
      <c r="DD25" s="57"/>
      <c r="DE25" s="57"/>
      <c r="DF25" s="57"/>
      <c r="DG25" s="57"/>
      <c r="DH25" s="57"/>
      <c r="DI25" s="57"/>
      <c r="DJ25" s="57"/>
      <c r="DK25" s="57"/>
      <c r="DL25" s="57"/>
      <c r="DM25" s="57"/>
      <c r="DN25" s="57" t="s">
        <v>267</v>
      </c>
      <c r="DO25" s="57"/>
      <c r="DP25" s="57" t="s">
        <v>121</v>
      </c>
      <c r="DQ25" s="62"/>
      <c r="DR25" s="62"/>
      <c r="DS25" s="62"/>
      <c r="DT25" s="62"/>
      <c r="DU25" s="62"/>
      <c r="DV25" s="62"/>
      <c r="DW25" s="62" t="s">
        <v>274</v>
      </c>
      <c r="DX25" s="62" t="s">
        <v>274</v>
      </c>
      <c r="DY25" s="62" t="s">
        <v>275</v>
      </c>
      <c r="DZ25" s="62" t="s">
        <v>275</v>
      </c>
      <c r="EA25" s="57" t="s">
        <v>275</v>
      </c>
      <c r="EB25" s="56" t="s">
        <v>362</v>
      </c>
      <c r="EC25" s="57" t="s">
        <v>275</v>
      </c>
      <c r="ED25" s="56"/>
      <c r="EE25" s="56"/>
      <c r="EF25" s="56"/>
      <c r="EG25" s="56"/>
      <c r="EH25" s="58"/>
      <c r="EI25" s="86"/>
      <c r="EJ25" s="86"/>
    </row>
    <row r="26" spans="1:140" ht="79.2" outlineLevel="1" x14ac:dyDescent="0.25">
      <c r="A26" s="91"/>
      <c r="B26" s="121" t="s">
        <v>388</v>
      </c>
      <c r="C26" s="56" t="s">
        <v>388</v>
      </c>
      <c r="D26" s="56" t="s">
        <v>163</v>
      </c>
      <c r="E26" s="56" t="s">
        <v>353</v>
      </c>
      <c r="F26" s="57" t="s">
        <v>279</v>
      </c>
      <c r="G26" s="57" t="s">
        <v>623</v>
      </c>
      <c r="H26" s="58"/>
      <c r="I26" s="57" t="s">
        <v>447</v>
      </c>
      <c r="J26" s="57" t="s">
        <v>447</v>
      </c>
      <c r="K26" s="57" t="s">
        <v>448</v>
      </c>
      <c r="L26" s="57" t="s">
        <v>354</v>
      </c>
      <c r="M26" s="57" t="s">
        <v>267</v>
      </c>
      <c r="N26" s="57" t="s">
        <v>267</v>
      </c>
      <c r="O26" s="57" t="s">
        <v>559</v>
      </c>
      <c r="P26" s="57"/>
      <c r="Q26" s="57" t="s">
        <v>268</v>
      </c>
      <c r="R26" s="57" t="s">
        <v>268</v>
      </c>
      <c r="S26" s="57" t="s">
        <v>271</v>
      </c>
      <c r="T26" s="57" t="s">
        <v>272</v>
      </c>
      <c r="U26" s="57" t="s">
        <v>268</v>
      </c>
      <c r="V26" s="62" t="s">
        <v>268</v>
      </c>
      <c r="W26" s="62" t="s">
        <v>268</v>
      </c>
      <c r="X26" s="63" t="s">
        <v>355</v>
      </c>
      <c r="Y26" s="64" t="s">
        <v>268</v>
      </c>
      <c r="Z26" s="64" t="s">
        <v>271</v>
      </c>
      <c r="AA26" s="62" t="s">
        <v>272</v>
      </c>
      <c r="AB26" s="59" t="s">
        <v>268</v>
      </c>
      <c r="AC26" s="59"/>
      <c r="AD26" s="59" t="s">
        <v>275</v>
      </c>
      <c r="AE26" s="57"/>
      <c r="AF26" s="63"/>
      <c r="AG26" s="62" t="s">
        <v>267</v>
      </c>
      <c r="AH26" s="62"/>
      <c r="AI26" s="62" t="s">
        <v>267</v>
      </c>
      <c r="AJ26" s="62" t="s">
        <v>267</v>
      </c>
      <c r="AK26" s="62"/>
      <c r="AL26" s="62" t="s">
        <v>267</v>
      </c>
      <c r="AM26" s="62" t="s">
        <v>267</v>
      </c>
      <c r="AN26" s="62" t="s">
        <v>267</v>
      </c>
      <c r="AO26" s="62" t="s">
        <v>267</v>
      </c>
      <c r="AP26" s="62"/>
      <c r="AQ26" s="62"/>
      <c r="AR26" s="62"/>
      <c r="AS26" s="62"/>
      <c r="AT26" s="62"/>
      <c r="AU26" s="62"/>
      <c r="AV26" s="62"/>
      <c r="AW26" s="62"/>
      <c r="AX26" s="62"/>
      <c r="AY26" s="62"/>
      <c r="AZ26" s="62"/>
      <c r="BA26" s="62"/>
      <c r="BB26" s="62" t="s">
        <v>267</v>
      </c>
      <c r="BC26" s="62"/>
      <c r="BD26" s="62"/>
      <c r="BE26" s="62"/>
      <c r="BF26" s="62"/>
      <c r="BG26" s="62"/>
      <c r="BH26" s="62"/>
      <c r="BI26" s="62" t="s">
        <v>267</v>
      </c>
      <c r="BJ26" s="62"/>
      <c r="BK26" s="62"/>
      <c r="BL26" s="62"/>
      <c r="BM26" s="62"/>
      <c r="BN26" s="62"/>
      <c r="BO26" s="62" t="s">
        <v>267</v>
      </c>
      <c r="BP26" s="62"/>
      <c r="BQ26" s="62"/>
      <c r="BR26" s="62"/>
      <c r="BS26" s="62"/>
      <c r="BT26" s="62"/>
      <c r="BU26" s="62"/>
      <c r="BV26" s="62" t="s">
        <v>267</v>
      </c>
      <c r="BW26" s="62"/>
      <c r="BX26" s="62"/>
      <c r="BY26" s="62"/>
      <c r="BZ26" s="62" t="s">
        <v>267</v>
      </c>
      <c r="CA26" s="62"/>
      <c r="CB26" s="62"/>
      <c r="CC26" s="62"/>
      <c r="CD26" s="62"/>
      <c r="CE26" s="62"/>
      <c r="CF26" s="62"/>
      <c r="CG26" s="62"/>
      <c r="CH26" s="62"/>
      <c r="CI26" s="62"/>
      <c r="CJ26" s="62"/>
      <c r="CK26" s="62"/>
      <c r="CL26" s="62"/>
      <c r="CM26" s="62"/>
      <c r="CN26" s="62" t="s">
        <v>267</v>
      </c>
      <c r="CO26" s="62"/>
      <c r="CP26" s="62"/>
      <c r="CQ26" s="62"/>
      <c r="CR26" s="62"/>
      <c r="CS26" s="62"/>
      <c r="CT26" s="62"/>
      <c r="CU26" s="62" t="s">
        <v>267</v>
      </c>
      <c r="CV26" s="62"/>
      <c r="CW26" s="62"/>
      <c r="CX26" s="62"/>
      <c r="CY26" s="62" t="s">
        <v>267</v>
      </c>
      <c r="CZ26" s="62"/>
      <c r="DA26" s="62"/>
      <c r="DB26" s="62"/>
      <c r="DC26" s="62"/>
      <c r="DD26" s="62"/>
      <c r="DE26" s="62"/>
      <c r="DF26" s="62"/>
      <c r="DG26" s="62"/>
      <c r="DH26" s="62"/>
      <c r="DI26" s="62"/>
      <c r="DJ26" s="62"/>
      <c r="DK26" s="62"/>
      <c r="DL26" s="62"/>
      <c r="DM26" s="62"/>
      <c r="DN26" s="62" t="s">
        <v>267</v>
      </c>
      <c r="DO26" s="62"/>
      <c r="DP26" s="62" t="s">
        <v>121</v>
      </c>
      <c r="DQ26" s="62"/>
      <c r="DR26" s="62"/>
      <c r="DS26" s="62"/>
      <c r="DT26" s="62"/>
      <c r="DU26" s="62"/>
      <c r="DV26" s="62"/>
      <c r="DW26" s="62" t="s">
        <v>275</v>
      </c>
      <c r="DX26" s="62" t="s">
        <v>274</v>
      </c>
      <c r="DY26" s="62" t="s">
        <v>275</v>
      </c>
      <c r="DZ26" s="62"/>
      <c r="EA26" s="62" t="s">
        <v>275</v>
      </c>
      <c r="EB26" s="65" t="s">
        <v>356</v>
      </c>
      <c r="EC26" s="62" t="s">
        <v>425</v>
      </c>
      <c r="ED26" s="56" t="s">
        <v>357</v>
      </c>
      <c r="EE26" s="56" t="s">
        <v>479</v>
      </c>
      <c r="EF26" s="56"/>
      <c r="EG26" s="65" t="s">
        <v>358</v>
      </c>
      <c r="EH26" s="63"/>
      <c r="EI26" s="86"/>
      <c r="EJ26" s="86"/>
    </row>
    <row r="27" spans="1:140" ht="73.5" customHeight="1" outlineLevel="1" x14ac:dyDescent="0.25">
      <c r="A27" s="91"/>
      <c r="B27" s="121" t="s">
        <v>388</v>
      </c>
      <c r="C27" s="56" t="s">
        <v>388</v>
      </c>
      <c r="D27" s="56" t="s">
        <v>473</v>
      </c>
      <c r="E27" s="56" t="s">
        <v>359</v>
      </c>
      <c r="F27" s="57" t="s">
        <v>279</v>
      </c>
      <c r="G27" s="57" t="s">
        <v>623</v>
      </c>
      <c r="H27" s="58"/>
      <c r="I27" s="57" t="s">
        <v>198</v>
      </c>
      <c r="J27" s="57" t="s">
        <v>198</v>
      </c>
      <c r="K27" s="57" t="s">
        <v>448</v>
      </c>
      <c r="L27" s="62" t="s">
        <v>360</v>
      </c>
      <c r="M27" s="62"/>
      <c r="N27" s="62" t="s">
        <v>267</v>
      </c>
      <c r="O27" s="62"/>
      <c r="P27" s="62"/>
      <c r="Q27" s="62" t="s">
        <v>268</v>
      </c>
      <c r="R27" s="62" t="s">
        <v>268</v>
      </c>
      <c r="S27" s="62" t="s">
        <v>272</v>
      </c>
      <c r="T27" s="62" t="s">
        <v>272</v>
      </c>
      <c r="U27" s="62" t="s">
        <v>268</v>
      </c>
      <c r="V27" s="62" t="s">
        <v>269</v>
      </c>
      <c r="W27" s="62" t="s">
        <v>268</v>
      </c>
      <c r="X27" s="63" t="s">
        <v>355</v>
      </c>
      <c r="Y27" s="64" t="s">
        <v>268</v>
      </c>
      <c r="Z27" s="64" t="s">
        <v>271</v>
      </c>
      <c r="AA27" s="62" t="s">
        <v>272</v>
      </c>
      <c r="AB27" s="59" t="s">
        <v>268</v>
      </c>
      <c r="AC27" s="59"/>
      <c r="AD27" s="59" t="s">
        <v>275</v>
      </c>
      <c r="AE27" s="57"/>
      <c r="AF27" s="63"/>
      <c r="AG27" s="62" t="s">
        <v>267</v>
      </c>
      <c r="AH27" s="62"/>
      <c r="AI27" s="62" t="s">
        <v>267</v>
      </c>
      <c r="AJ27" s="62" t="s">
        <v>267</v>
      </c>
      <c r="AK27" s="62"/>
      <c r="AL27" s="62" t="s">
        <v>267</v>
      </c>
      <c r="AM27" s="62" t="s">
        <v>267</v>
      </c>
      <c r="AN27" s="62" t="s">
        <v>267</v>
      </c>
      <c r="AO27" s="62" t="s">
        <v>267</v>
      </c>
      <c r="AP27" s="62"/>
      <c r="AQ27" s="62"/>
      <c r="AR27" s="62" t="s">
        <v>267</v>
      </c>
      <c r="AS27" s="62"/>
      <c r="AT27" s="62" t="s">
        <v>83</v>
      </c>
      <c r="AU27" s="62"/>
      <c r="AV27" s="62"/>
      <c r="AW27" s="62"/>
      <c r="AX27" s="62"/>
      <c r="AY27" s="62"/>
      <c r="AZ27" s="62"/>
      <c r="BA27" s="62"/>
      <c r="BB27" s="62" t="s">
        <v>267</v>
      </c>
      <c r="BC27" s="62"/>
      <c r="BD27" s="62"/>
      <c r="BE27" s="62"/>
      <c r="BF27" s="62"/>
      <c r="BG27" s="62"/>
      <c r="BH27" s="62"/>
      <c r="BI27" s="62"/>
      <c r="BJ27" s="62"/>
      <c r="BK27" s="62"/>
      <c r="BL27" s="62"/>
      <c r="BM27" s="62"/>
      <c r="BN27" s="62"/>
      <c r="BO27" s="62" t="s">
        <v>267</v>
      </c>
      <c r="BP27" s="62"/>
      <c r="BQ27" s="62"/>
      <c r="BR27" s="62"/>
      <c r="BS27" s="62"/>
      <c r="BT27" s="62"/>
      <c r="BU27" s="62"/>
      <c r="BV27" s="62"/>
      <c r="BW27" s="62"/>
      <c r="BX27" s="62"/>
      <c r="BY27" s="62"/>
      <c r="BZ27" s="62" t="s">
        <v>267</v>
      </c>
      <c r="CA27" s="62"/>
      <c r="CB27" s="62"/>
      <c r="CC27" s="62"/>
      <c r="CD27" s="62"/>
      <c r="CE27" s="62"/>
      <c r="CF27" s="62"/>
      <c r="CG27" s="62"/>
      <c r="CH27" s="62"/>
      <c r="CI27" s="62"/>
      <c r="CJ27" s="62"/>
      <c r="CK27" s="62"/>
      <c r="CL27" s="62"/>
      <c r="CM27" s="62"/>
      <c r="CN27" s="62" t="s">
        <v>267</v>
      </c>
      <c r="CO27" s="62"/>
      <c r="CP27" s="62"/>
      <c r="CQ27" s="62"/>
      <c r="CR27" s="62"/>
      <c r="CS27" s="62"/>
      <c r="CT27" s="62"/>
      <c r="CU27" s="62"/>
      <c r="CV27" s="62"/>
      <c r="CW27" s="62"/>
      <c r="CX27" s="62"/>
      <c r="CY27" s="62" t="s">
        <v>267</v>
      </c>
      <c r="CZ27" s="62"/>
      <c r="DA27" s="62"/>
      <c r="DB27" s="62"/>
      <c r="DC27" s="62"/>
      <c r="DD27" s="62"/>
      <c r="DE27" s="62"/>
      <c r="DF27" s="62"/>
      <c r="DG27" s="62"/>
      <c r="DH27" s="62"/>
      <c r="DI27" s="62"/>
      <c r="DJ27" s="62"/>
      <c r="DK27" s="62"/>
      <c r="DL27" s="62"/>
      <c r="DM27" s="62"/>
      <c r="DN27" s="62" t="s">
        <v>267</v>
      </c>
      <c r="DO27" s="62"/>
      <c r="DP27" s="62" t="s">
        <v>121</v>
      </c>
      <c r="DQ27" s="62"/>
      <c r="DR27" s="62"/>
      <c r="DS27" s="62"/>
      <c r="DT27" s="62"/>
      <c r="DU27" s="62"/>
      <c r="DV27" s="62"/>
      <c r="DW27" s="62" t="s">
        <v>274</v>
      </c>
      <c r="DX27" s="62" t="s">
        <v>274</v>
      </c>
      <c r="DY27" s="62" t="s">
        <v>274</v>
      </c>
      <c r="DZ27" s="62" t="s">
        <v>274</v>
      </c>
      <c r="EA27" s="62" t="s">
        <v>275</v>
      </c>
      <c r="EB27" s="66" t="s">
        <v>362</v>
      </c>
      <c r="EC27" s="62" t="s">
        <v>275</v>
      </c>
      <c r="ED27" s="56" t="s">
        <v>363</v>
      </c>
      <c r="EE27" s="56" t="s">
        <v>479</v>
      </c>
      <c r="EF27" s="56"/>
      <c r="EG27" s="56" t="s">
        <v>676</v>
      </c>
      <c r="EH27" s="58"/>
      <c r="EI27" s="86"/>
      <c r="EJ27" s="86"/>
    </row>
    <row r="28" spans="1:140" ht="68.25" customHeight="1" outlineLevel="1" x14ac:dyDescent="0.25">
      <c r="A28" s="91"/>
      <c r="B28" s="121" t="s">
        <v>388</v>
      </c>
      <c r="C28" s="56" t="s">
        <v>388</v>
      </c>
      <c r="D28" s="56" t="s">
        <v>555</v>
      </c>
      <c r="E28" s="56"/>
      <c r="F28" s="57" t="s">
        <v>279</v>
      </c>
      <c r="G28" s="57" t="s">
        <v>623</v>
      </c>
      <c r="H28" s="58"/>
      <c r="I28" s="57" t="s">
        <v>198</v>
      </c>
      <c r="J28" s="57" t="s">
        <v>198</v>
      </c>
      <c r="K28" s="57" t="s">
        <v>198</v>
      </c>
      <c r="L28" s="62"/>
      <c r="M28" s="62"/>
      <c r="N28" s="62" t="s">
        <v>267</v>
      </c>
      <c r="O28" s="62"/>
      <c r="P28" s="62"/>
      <c r="Q28" s="62" t="s">
        <v>268</v>
      </c>
      <c r="R28" s="62" t="s">
        <v>268</v>
      </c>
      <c r="S28" s="62" t="s">
        <v>271</v>
      </c>
      <c r="T28" s="62" t="s">
        <v>272</v>
      </c>
      <c r="U28" s="62" t="s">
        <v>269</v>
      </c>
      <c r="V28" s="62" t="s">
        <v>269</v>
      </c>
      <c r="W28" s="62" t="s">
        <v>268</v>
      </c>
      <c r="X28" s="63" t="s">
        <v>369</v>
      </c>
      <c r="Y28" s="64" t="s">
        <v>269</v>
      </c>
      <c r="Z28" s="64" t="s">
        <v>269</v>
      </c>
      <c r="AA28" s="62" t="s">
        <v>269</v>
      </c>
      <c r="AB28" s="59" t="s">
        <v>272</v>
      </c>
      <c r="AC28" s="59"/>
      <c r="AD28" s="59" t="s">
        <v>275</v>
      </c>
      <c r="AE28" s="57"/>
      <c r="AF28" s="63"/>
      <c r="AG28" s="62" t="s">
        <v>267</v>
      </c>
      <c r="AH28" s="62"/>
      <c r="AI28" s="62" t="s">
        <v>267</v>
      </c>
      <c r="AJ28" s="62" t="s">
        <v>267</v>
      </c>
      <c r="AK28" s="62"/>
      <c r="AL28" s="62" t="s">
        <v>267</v>
      </c>
      <c r="AM28" s="62" t="s">
        <v>267</v>
      </c>
      <c r="AN28" s="62" t="s">
        <v>267</v>
      </c>
      <c r="AO28" s="62" t="s">
        <v>267</v>
      </c>
      <c r="AP28" s="62"/>
      <c r="AQ28" s="62"/>
      <c r="AR28" s="62"/>
      <c r="AS28" s="62"/>
      <c r="AT28" s="62" t="s">
        <v>267</v>
      </c>
      <c r="AU28" s="62"/>
      <c r="AV28" s="62"/>
      <c r="AW28" s="62"/>
      <c r="AX28" s="62"/>
      <c r="AY28" s="62"/>
      <c r="AZ28" s="62"/>
      <c r="BA28" s="62" t="s">
        <v>267</v>
      </c>
      <c r="BB28" s="62" t="s">
        <v>267</v>
      </c>
      <c r="BC28" s="62"/>
      <c r="BD28" s="62"/>
      <c r="BE28" s="62"/>
      <c r="BF28" s="62"/>
      <c r="BG28" s="62"/>
      <c r="BH28" s="62"/>
      <c r="BI28" s="62" t="s">
        <v>267</v>
      </c>
      <c r="BJ28" s="62"/>
      <c r="BK28" s="62"/>
      <c r="BL28" s="62"/>
      <c r="BM28" s="62"/>
      <c r="BN28" s="62"/>
      <c r="BO28" s="62" t="s">
        <v>267</v>
      </c>
      <c r="BP28" s="62"/>
      <c r="BQ28" s="62"/>
      <c r="BR28" s="62"/>
      <c r="BS28" s="62"/>
      <c r="BT28" s="62"/>
      <c r="BU28" s="62"/>
      <c r="BV28" s="62" t="s">
        <v>267</v>
      </c>
      <c r="BW28" s="62"/>
      <c r="BX28" s="62"/>
      <c r="BY28" s="62"/>
      <c r="BZ28" s="62" t="s">
        <v>267</v>
      </c>
      <c r="CA28" s="62"/>
      <c r="CB28" s="62"/>
      <c r="CC28" s="62"/>
      <c r="CD28" s="62"/>
      <c r="CE28" s="62"/>
      <c r="CF28" s="62"/>
      <c r="CG28" s="62"/>
      <c r="CH28" s="62"/>
      <c r="CI28" s="62"/>
      <c r="CJ28" s="62"/>
      <c r="CK28" s="62"/>
      <c r="CL28" s="62"/>
      <c r="CM28" s="62"/>
      <c r="CN28" s="62" t="s">
        <v>267</v>
      </c>
      <c r="CO28" s="62"/>
      <c r="CP28" s="62"/>
      <c r="CQ28" s="62"/>
      <c r="CR28" s="62"/>
      <c r="CS28" s="62"/>
      <c r="CT28" s="62"/>
      <c r="CU28" s="62" t="s">
        <v>267</v>
      </c>
      <c r="CV28" s="62"/>
      <c r="CW28" s="62"/>
      <c r="CX28" s="62"/>
      <c r="CY28" s="62" t="s">
        <v>267</v>
      </c>
      <c r="CZ28" s="62"/>
      <c r="DA28" s="62"/>
      <c r="DB28" s="62"/>
      <c r="DC28" s="62"/>
      <c r="DD28" s="62"/>
      <c r="DE28" s="62"/>
      <c r="DF28" s="62"/>
      <c r="DG28" s="62"/>
      <c r="DH28" s="62"/>
      <c r="DI28" s="62"/>
      <c r="DJ28" s="62"/>
      <c r="DK28" s="62"/>
      <c r="DL28" s="62"/>
      <c r="DM28" s="62"/>
      <c r="DN28" s="62" t="s">
        <v>267</v>
      </c>
      <c r="DO28" s="62"/>
      <c r="DP28" s="62" t="s">
        <v>121</v>
      </c>
      <c r="DQ28" s="62"/>
      <c r="DR28" s="62"/>
      <c r="DS28" s="62"/>
      <c r="DT28" s="62"/>
      <c r="DU28" s="62"/>
      <c r="DV28" s="62"/>
      <c r="DW28" s="62" t="s">
        <v>274</v>
      </c>
      <c r="DX28" s="62" t="s">
        <v>274</v>
      </c>
      <c r="DY28" s="62" t="s">
        <v>275</v>
      </c>
      <c r="DZ28" s="62" t="s">
        <v>275</v>
      </c>
      <c r="EA28" s="62" t="s">
        <v>275</v>
      </c>
      <c r="EB28" s="65" t="s">
        <v>362</v>
      </c>
      <c r="EC28" s="62" t="s">
        <v>275</v>
      </c>
      <c r="ED28" s="56" t="s">
        <v>370</v>
      </c>
      <c r="EE28" s="56"/>
      <c r="EF28" s="56"/>
      <c r="EG28" s="56"/>
      <c r="EH28" s="58"/>
      <c r="EI28" s="86"/>
      <c r="EJ28" s="86"/>
    </row>
    <row r="29" spans="1:140" ht="66.75" customHeight="1" outlineLevel="1" x14ac:dyDescent="0.25">
      <c r="A29" s="91"/>
      <c r="B29" s="121" t="s">
        <v>388</v>
      </c>
      <c r="C29" s="56" t="s">
        <v>388</v>
      </c>
      <c r="D29" s="56" t="s">
        <v>474</v>
      </c>
      <c r="E29" s="56" t="s">
        <v>368</v>
      </c>
      <c r="F29" s="57" t="s">
        <v>279</v>
      </c>
      <c r="G29" s="57" t="s">
        <v>623</v>
      </c>
      <c r="H29" s="58"/>
      <c r="I29" s="57" t="s">
        <v>198</v>
      </c>
      <c r="J29" s="57" t="s">
        <v>198</v>
      </c>
      <c r="K29" s="57" t="s">
        <v>198</v>
      </c>
      <c r="L29" s="62"/>
      <c r="M29" s="62"/>
      <c r="N29" s="62" t="s">
        <v>267</v>
      </c>
      <c r="O29" s="62"/>
      <c r="P29" s="62"/>
      <c r="Q29" s="62" t="s">
        <v>268</v>
      </c>
      <c r="R29" s="62" t="s">
        <v>268</v>
      </c>
      <c r="S29" s="62" t="s">
        <v>271</v>
      </c>
      <c r="T29" s="62" t="s">
        <v>272</v>
      </c>
      <c r="U29" s="62" t="s">
        <v>269</v>
      </c>
      <c r="V29" s="62" t="s">
        <v>269</v>
      </c>
      <c r="W29" s="62" t="s">
        <v>268</v>
      </c>
      <c r="X29" s="63" t="s">
        <v>369</v>
      </c>
      <c r="Y29" s="64" t="s">
        <v>269</v>
      </c>
      <c r="Z29" s="64" t="s">
        <v>269</v>
      </c>
      <c r="AA29" s="62" t="s">
        <v>269</v>
      </c>
      <c r="AB29" s="59" t="s">
        <v>272</v>
      </c>
      <c r="AC29" s="59"/>
      <c r="AD29" s="59" t="s">
        <v>275</v>
      </c>
      <c r="AE29" s="57"/>
      <c r="AF29" s="63"/>
      <c r="AG29" s="62" t="s">
        <v>267</v>
      </c>
      <c r="AH29" s="62"/>
      <c r="AI29" s="62" t="s">
        <v>267</v>
      </c>
      <c r="AJ29" s="62" t="s">
        <v>267</v>
      </c>
      <c r="AK29" s="62"/>
      <c r="AL29" s="62" t="s">
        <v>267</v>
      </c>
      <c r="AM29" s="62" t="s">
        <v>267</v>
      </c>
      <c r="AN29" s="62" t="s">
        <v>267</v>
      </c>
      <c r="AO29" s="62" t="s">
        <v>267</v>
      </c>
      <c r="AP29" s="62"/>
      <c r="AQ29" s="62"/>
      <c r="AR29" s="62"/>
      <c r="AS29" s="62"/>
      <c r="AT29" s="62" t="s">
        <v>267</v>
      </c>
      <c r="AU29" s="62"/>
      <c r="AV29" s="62"/>
      <c r="AW29" s="62"/>
      <c r="AX29" s="62"/>
      <c r="AY29" s="62"/>
      <c r="AZ29" s="62"/>
      <c r="BA29" s="62" t="s">
        <v>267</v>
      </c>
      <c r="BB29" s="62" t="s">
        <v>267</v>
      </c>
      <c r="BC29" s="62"/>
      <c r="BD29" s="62"/>
      <c r="BE29" s="62"/>
      <c r="BF29" s="62"/>
      <c r="BG29" s="62"/>
      <c r="BH29" s="62"/>
      <c r="BI29" s="62" t="s">
        <v>267</v>
      </c>
      <c r="BJ29" s="62"/>
      <c r="BK29" s="62"/>
      <c r="BL29" s="62"/>
      <c r="BM29" s="62"/>
      <c r="BN29" s="62"/>
      <c r="BO29" s="62" t="s">
        <v>267</v>
      </c>
      <c r="BP29" s="62"/>
      <c r="BQ29" s="62"/>
      <c r="BR29" s="62"/>
      <c r="BS29" s="62"/>
      <c r="BT29" s="62"/>
      <c r="BU29" s="62"/>
      <c r="BV29" s="62" t="s">
        <v>267</v>
      </c>
      <c r="BW29" s="62"/>
      <c r="BX29" s="62"/>
      <c r="BY29" s="62"/>
      <c r="BZ29" s="62" t="s">
        <v>267</v>
      </c>
      <c r="CA29" s="62"/>
      <c r="CB29" s="62"/>
      <c r="CC29" s="62"/>
      <c r="CD29" s="62"/>
      <c r="CE29" s="62"/>
      <c r="CF29" s="62"/>
      <c r="CG29" s="62"/>
      <c r="CH29" s="62"/>
      <c r="CI29" s="62"/>
      <c r="CJ29" s="62"/>
      <c r="CK29" s="62"/>
      <c r="CL29" s="62"/>
      <c r="CM29" s="62"/>
      <c r="CN29" s="62" t="s">
        <v>267</v>
      </c>
      <c r="CO29" s="62"/>
      <c r="CP29" s="62"/>
      <c r="CQ29" s="62"/>
      <c r="CR29" s="62"/>
      <c r="CS29" s="62"/>
      <c r="CT29" s="62"/>
      <c r="CU29" s="62" t="s">
        <v>267</v>
      </c>
      <c r="CV29" s="62"/>
      <c r="CW29" s="62"/>
      <c r="CX29" s="62"/>
      <c r="CY29" s="62" t="s">
        <v>267</v>
      </c>
      <c r="CZ29" s="62"/>
      <c r="DA29" s="62"/>
      <c r="DB29" s="62"/>
      <c r="DC29" s="62"/>
      <c r="DD29" s="62"/>
      <c r="DE29" s="62"/>
      <c r="DF29" s="62"/>
      <c r="DG29" s="62"/>
      <c r="DH29" s="62"/>
      <c r="DI29" s="62"/>
      <c r="DJ29" s="62"/>
      <c r="DK29" s="62"/>
      <c r="DL29" s="62"/>
      <c r="DM29" s="62"/>
      <c r="DN29" s="62" t="s">
        <v>267</v>
      </c>
      <c r="DO29" s="62"/>
      <c r="DP29" s="62" t="s">
        <v>121</v>
      </c>
      <c r="DQ29" s="62"/>
      <c r="DR29" s="62"/>
      <c r="DS29" s="62"/>
      <c r="DT29" s="62"/>
      <c r="DU29" s="62"/>
      <c r="DV29" s="62"/>
      <c r="DW29" s="62" t="s">
        <v>274</v>
      </c>
      <c r="DX29" s="62" t="s">
        <v>274</v>
      </c>
      <c r="DY29" s="62" t="s">
        <v>275</v>
      </c>
      <c r="DZ29" s="62" t="s">
        <v>275</v>
      </c>
      <c r="EA29" s="62" t="s">
        <v>275</v>
      </c>
      <c r="EB29" s="65" t="s">
        <v>362</v>
      </c>
      <c r="EC29" s="62" t="s">
        <v>275</v>
      </c>
      <c r="ED29" s="56" t="s">
        <v>370</v>
      </c>
      <c r="EE29" s="56" t="s">
        <v>480</v>
      </c>
      <c r="EF29" s="56"/>
      <c r="EG29" s="56" t="s">
        <v>371</v>
      </c>
      <c r="EH29" s="58"/>
      <c r="EI29" s="86"/>
      <c r="EJ29" s="86"/>
    </row>
    <row r="30" spans="1:140" ht="66.75" customHeight="1" outlineLevel="1" x14ac:dyDescent="0.25">
      <c r="A30" s="91"/>
      <c r="B30" s="121" t="s">
        <v>388</v>
      </c>
      <c r="C30" s="56" t="s">
        <v>388</v>
      </c>
      <c r="D30" s="65" t="s">
        <v>162</v>
      </c>
      <c r="E30" s="56" t="s">
        <v>375</v>
      </c>
      <c r="F30" s="57" t="s">
        <v>279</v>
      </c>
      <c r="G30" s="57" t="s">
        <v>623</v>
      </c>
      <c r="H30" s="58"/>
      <c r="I30" s="62" t="s">
        <v>196</v>
      </c>
      <c r="J30" s="62" t="s">
        <v>196</v>
      </c>
      <c r="K30" s="57" t="s">
        <v>198</v>
      </c>
      <c r="L30" s="62" t="s">
        <v>376</v>
      </c>
      <c r="M30" s="62" t="s">
        <v>267</v>
      </c>
      <c r="N30" s="62" t="s">
        <v>267</v>
      </c>
      <c r="O30" s="62" t="s">
        <v>559</v>
      </c>
      <c r="P30" s="62"/>
      <c r="Q30" s="62" t="s">
        <v>268</v>
      </c>
      <c r="R30" s="62" t="s">
        <v>268</v>
      </c>
      <c r="S30" s="62" t="s">
        <v>272</v>
      </c>
      <c r="T30" s="62" t="s">
        <v>272</v>
      </c>
      <c r="U30" s="62" t="s">
        <v>268</v>
      </c>
      <c r="V30" s="62" t="s">
        <v>272</v>
      </c>
      <c r="W30" s="62" t="s">
        <v>268</v>
      </c>
      <c r="X30" s="63" t="s">
        <v>270</v>
      </c>
      <c r="Y30" s="64" t="s">
        <v>268</v>
      </c>
      <c r="Z30" s="64" t="s">
        <v>271</v>
      </c>
      <c r="AA30" s="62" t="s">
        <v>272</v>
      </c>
      <c r="AB30" s="59" t="s">
        <v>268</v>
      </c>
      <c r="AC30" s="59"/>
      <c r="AD30" s="59" t="s">
        <v>274</v>
      </c>
      <c r="AE30" s="57" t="s">
        <v>196</v>
      </c>
      <c r="AF30" s="63" t="s">
        <v>377</v>
      </c>
      <c r="AG30" s="62" t="s">
        <v>267</v>
      </c>
      <c r="AH30" s="62"/>
      <c r="AI30" s="62" t="s">
        <v>267</v>
      </c>
      <c r="AJ30" s="62" t="s">
        <v>267</v>
      </c>
      <c r="AK30" s="62"/>
      <c r="AL30" s="62" t="s">
        <v>267</v>
      </c>
      <c r="AM30" s="62" t="s">
        <v>267</v>
      </c>
      <c r="AN30" s="62" t="s">
        <v>267</v>
      </c>
      <c r="AO30" s="62" t="s">
        <v>267</v>
      </c>
      <c r="AP30" s="62"/>
      <c r="AQ30" s="62"/>
      <c r="AR30" s="62"/>
      <c r="AS30" s="62"/>
      <c r="AT30" s="62"/>
      <c r="AU30" s="62"/>
      <c r="AV30" s="62"/>
      <c r="AW30" s="62"/>
      <c r="AX30" s="62"/>
      <c r="AY30" s="62"/>
      <c r="AZ30" s="62"/>
      <c r="BA30" s="62"/>
      <c r="BB30" s="62" t="s">
        <v>267</v>
      </c>
      <c r="BC30" s="62"/>
      <c r="BD30" s="62"/>
      <c r="BE30" s="62"/>
      <c r="BF30" s="62"/>
      <c r="BG30" s="62"/>
      <c r="BH30" s="62"/>
      <c r="BI30" s="62"/>
      <c r="BJ30" s="62"/>
      <c r="BK30" s="62"/>
      <c r="BL30" s="62"/>
      <c r="BM30" s="62" t="s">
        <v>267</v>
      </c>
      <c r="BN30" s="62" t="s">
        <v>267</v>
      </c>
      <c r="BO30" s="62" t="s">
        <v>267</v>
      </c>
      <c r="BP30" s="62"/>
      <c r="BQ30" s="62"/>
      <c r="BR30" s="62"/>
      <c r="BS30" s="62"/>
      <c r="BT30" s="62"/>
      <c r="BU30" s="62"/>
      <c r="BV30" s="62"/>
      <c r="BW30" s="62"/>
      <c r="BX30" s="62" t="s">
        <v>267</v>
      </c>
      <c r="BY30" s="62" t="s">
        <v>267</v>
      </c>
      <c r="BZ30" s="62" t="s">
        <v>267</v>
      </c>
      <c r="CA30" s="62"/>
      <c r="CB30" s="62"/>
      <c r="CC30" s="62"/>
      <c r="CD30" s="62"/>
      <c r="CE30" s="62"/>
      <c r="CF30" s="62"/>
      <c r="CG30" s="62"/>
      <c r="CH30" s="62"/>
      <c r="CI30" s="62"/>
      <c r="CJ30" s="62"/>
      <c r="CK30" s="62"/>
      <c r="CL30" s="62" t="s">
        <v>267</v>
      </c>
      <c r="CM30" s="62" t="s">
        <v>267</v>
      </c>
      <c r="CN30" s="62" t="s">
        <v>267</v>
      </c>
      <c r="CO30" s="62"/>
      <c r="CP30" s="62"/>
      <c r="CQ30" s="62"/>
      <c r="CR30" s="62"/>
      <c r="CS30" s="62"/>
      <c r="CT30" s="62"/>
      <c r="CU30" s="62"/>
      <c r="CV30" s="62"/>
      <c r="CW30" s="62" t="s">
        <v>267</v>
      </c>
      <c r="CX30" s="62" t="s">
        <v>267</v>
      </c>
      <c r="CY30" s="62" t="s">
        <v>267</v>
      </c>
      <c r="CZ30" s="62"/>
      <c r="DA30" s="62"/>
      <c r="DB30" s="62"/>
      <c r="DC30" s="62"/>
      <c r="DD30" s="62"/>
      <c r="DE30" s="62"/>
      <c r="DF30" s="62"/>
      <c r="DG30" s="62"/>
      <c r="DH30" s="62"/>
      <c r="DI30" s="62" t="s">
        <v>267</v>
      </c>
      <c r="DJ30" s="62"/>
      <c r="DK30" s="62"/>
      <c r="DL30" s="62"/>
      <c r="DM30" s="62" t="s">
        <v>267</v>
      </c>
      <c r="DN30" s="62" t="s">
        <v>267</v>
      </c>
      <c r="DO30" s="62"/>
      <c r="DP30" s="62" t="s">
        <v>121</v>
      </c>
      <c r="DQ30" s="62"/>
      <c r="DR30" s="62"/>
      <c r="DS30" s="62"/>
      <c r="DT30" s="62"/>
      <c r="DU30" s="62"/>
      <c r="DV30" s="62"/>
      <c r="DW30" s="62" t="s">
        <v>275</v>
      </c>
      <c r="DX30" s="62" t="s">
        <v>274</v>
      </c>
      <c r="DY30" s="62" t="s">
        <v>275</v>
      </c>
      <c r="DZ30" s="62"/>
      <c r="EA30" s="62" t="s">
        <v>275</v>
      </c>
      <c r="EB30" s="65" t="s">
        <v>378</v>
      </c>
      <c r="EC30" s="62" t="s">
        <v>379</v>
      </c>
      <c r="ED30" s="65" t="s">
        <v>380</v>
      </c>
      <c r="EE30" s="65" t="s">
        <v>479</v>
      </c>
      <c r="EF30" s="56"/>
      <c r="EG30" s="65" t="s">
        <v>381</v>
      </c>
      <c r="EH30" s="63"/>
      <c r="EI30" s="86"/>
      <c r="EJ30" s="86"/>
    </row>
    <row r="31" spans="1:140" ht="55.5" customHeight="1" outlineLevel="1" x14ac:dyDescent="0.25">
      <c r="A31" s="91"/>
      <c r="B31" s="121" t="s">
        <v>388</v>
      </c>
      <c r="C31" s="56" t="s">
        <v>388</v>
      </c>
      <c r="D31" s="65" t="s">
        <v>556</v>
      </c>
      <c r="E31" s="56"/>
      <c r="F31" s="57" t="s">
        <v>279</v>
      </c>
      <c r="G31" s="57" t="s">
        <v>623</v>
      </c>
      <c r="H31" s="58"/>
      <c r="I31" s="62" t="s">
        <v>196</v>
      </c>
      <c r="J31" s="62" t="s">
        <v>196</v>
      </c>
      <c r="K31" s="57" t="s">
        <v>198</v>
      </c>
      <c r="L31" s="62"/>
      <c r="M31" s="62" t="s">
        <v>267</v>
      </c>
      <c r="N31" s="62" t="s">
        <v>267</v>
      </c>
      <c r="O31" s="62" t="s">
        <v>559</v>
      </c>
      <c r="P31" s="62"/>
      <c r="Q31" s="62" t="s">
        <v>268</v>
      </c>
      <c r="R31" s="62" t="s">
        <v>268</v>
      </c>
      <c r="S31" s="62" t="s">
        <v>272</v>
      </c>
      <c r="T31" s="62" t="s">
        <v>272</v>
      </c>
      <c r="U31" s="62" t="s">
        <v>268</v>
      </c>
      <c r="V31" s="62" t="s">
        <v>272</v>
      </c>
      <c r="W31" s="62" t="s">
        <v>268</v>
      </c>
      <c r="X31" s="63" t="s">
        <v>270</v>
      </c>
      <c r="Y31" s="64" t="s">
        <v>268</v>
      </c>
      <c r="Z31" s="64" t="s">
        <v>271</v>
      </c>
      <c r="AA31" s="62" t="s">
        <v>272</v>
      </c>
      <c r="AB31" s="59" t="s">
        <v>268</v>
      </c>
      <c r="AC31" s="59"/>
      <c r="AD31" s="59" t="s">
        <v>274</v>
      </c>
      <c r="AE31" s="57" t="s">
        <v>196</v>
      </c>
      <c r="AF31" s="63"/>
      <c r="AG31" s="62" t="s">
        <v>267</v>
      </c>
      <c r="AH31" s="62"/>
      <c r="AI31" s="62" t="s">
        <v>267</v>
      </c>
      <c r="AJ31" s="62" t="s">
        <v>267</v>
      </c>
      <c r="AK31" s="62"/>
      <c r="AL31" s="62" t="s">
        <v>267</v>
      </c>
      <c r="AM31" s="62" t="s">
        <v>267</v>
      </c>
      <c r="AN31" s="62" t="s">
        <v>267</v>
      </c>
      <c r="AO31" s="62" t="s">
        <v>267</v>
      </c>
      <c r="AP31" s="62"/>
      <c r="AQ31" s="62"/>
      <c r="AR31" s="62"/>
      <c r="AS31" s="62"/>
      <c r="AT31" s="62"/>
      <c r="AU31" s="62"/>
      <c r="AV31" s="62"/>
      <c r="AW31" s="62"/>
      <c r="AX31" s="62"/>
      <c r="AY31" s="62"/>
      <c r="AZ31" s="62"/>
      <c r="BA31" s="62"/>
      <c r="BB31" s="62" t="s">
        <v>267</v>
      </c>
      <c r="BC31" s="62"/>
      <c r="BD31" s="62"/>
      <c r="BE31" s="62"/>
      <c r="BF31" s="62"/>
      <c r="BG31" s="62"/>
      <c r="BH31" s="62"/>
      <c r="BI31" s="62"/>
      <c r="BJ31" s="62"/>
      <c r="BK31" s="62"/>
      <c r="BL31" s="62"/>
      <c r="BM31" s="62" t="s">
        <v>267</v>
      </c>
      <c r="BN31" s="62" t="s">
        <v>267</v>
      </c>
      <c r="BO31" s="62" t="s">
        <v>267</v>
      </c>
      <c r="BP31" s="62"/>
      <c r="BQ31" s="62"/>
      <c r="BR31" s="62"/>
      <c r="BS31" s="62"/>
      <c r="BT31" s="62"/>
      <c r="BU31" s="62"/>
      <c r="BV31" s="62"/>
      <c r="BW31" s="62"/>
      <c r="BX31" s="62" t="s">
        <v>267</v>
      </c>
      <c r="BY31" s="62" t="s">
        <v>267</v>
      </c>
      <c r="BZ31" s="62" t="s">
        <v>267</v>
      </c>
      <c r="CA31" s="62"/>
      <c r="CB31" s="62"/>
      <c r="CC31" s="62"/>
      <c r="CD31" s="62"/>
      <c r="CE31" s="62"/>
      <c r="CF31" s="62"/>
      <c r="CG31" s="62"/>
      <c r="CH31" s="62"/>
      <c r="CI31" s="62"/>
      <c r="CJ31" s="62"/>
      <c r="CK31" s="62"/>
      <c r="CL31" s="62" t="s">
        <v>267</v>
      </c>
      <c r="CM31" s="62" t="s">
        <v>267</v>
      </c>
      <c r="CN31" s="62" t="s">
        <v>267</v>
      </c>
      <c r="CO31" s="62"/>
      <c r="CP31" s="62"/>
      <c r="CQ31" s="62"/>
      <c r="CR31" s="62"/>
      <c r="CS31" s="62"/>
      <c r="CT31" s="62"/>
      <c r="CU31" s="62"/>
      <c r="CV31" s="62"/>
      <c r="CW31" s="62" t="s">
        <v>267</v>
      </c>
      <c r="CX31" s="62" t="s">
        <v>267</v>
      </c>
      <c r="CY31" s="62" t="s">
        <v>267</v>
      </c>
      <c r="CZ31" s="62"/>
      <c r="DA31" s="62"/>
      <c r="DB31" s="62"/>
      <c r="DC31" s="62"/>
      <c r="DD31" s="62"/>
      <c r="DE31" s="62"/>
      <c r="DF31" s="62"/>
      <c r="DG31" s="62"/>
      <c r="DH31" s="62"/>
      <c r="DI31" s="62" t="s">
        <v>267</v>
      </c>
      <c r="DJ31" s="62"/>
      <c r="DK31" s="62"/>
      <c r="DL31" s="62"/>
      <c r="DM31" s="62" t="s">
        <v>267</v>
      </c>
      <c r="DN31" s="62" t="s">
        <v>267</v>
      </c>
      <c r="DO31" s="62"/>
      <c r="DP31" s="62" t="s">
        <v>121</v>
      </c>
      <c r="DQ31" s="62"/>
      <c r="DR31" s="62"/>
      <c r="DS31" s="62"/>
      <c r="DT31" s="62"/>
      <c r="DU31" s="62"/>
      <c r="DV31" s="62"/>
      <c r="DW31" s="62" t="s">
        <v>275</v>
      </c>
      <c r="DX31" s="62" t="s">
        <v>274</v>
      </c>
      <c r="DY31" s="62" t="s">
        <v>275</v>
      </c>
      <c r="DZ31" s="62"/>
      <c r="EA31" s="62" t="s">
        <v>275</v>
      </c>
      <c r="EB31" s="65"/>
      <c r="EC31" s="62"/>
      <c r="ED31" s="65"/>
      <c r="EE31" s="65" t="s">
        <v>479</v>
      </c>
      <c r="EF31" s="56"/>
      <c r="EG31" s="65"/>
      <c r="EH31" s="63"/>
      <c r="EI31" s="86"/>
      <c r="EJ31" s="86"/>
    </row>
    <row r="32" spans="1:140" ht="55.5" customHeight="1" outlineLevel="1" x14ac:dyDescent="0.25">
      <c r="A32" s="91"/>
      <c r="B32" s="121" t="s">
        <v>388</v>
      </c>
      <c r="C32" s="56" t="s">
        <v>388</v>
      </c>
      <c r="D32" s="65" t="s">
        <v>694</v>
      </c>
      <c r="E32" s="56"/>
      <c r="F32" s="57" t="s">
        <v>279</v>
      </c>
      <c r="G32" s="57" t="s">
        <v>623</v>
      </c>
      <c r="H32" s="58"/>
      <c r="I32" s="62" t="s">
        <v>196</v>
      </c>
      <c r="J32" s="62" t="s">
        <v>196</v>
      </c>
      <c r="K32" s="57" t="s">
        <v>198</v>
      </c>
      <c r="L32" s="62"/>
      <c r="M32" s="62" t="s">
        <v>267</v>
      </c>
      <c r="N32" s="62" t="s">
        <v>267</v>
      </c>
      <c r="O32" s="62" t="s">
        <v>559</v>
      </c>
      <c r="P32" s="62"/>
      <c r="Q32" s="62" t="s">
        <v>268</v>
      </c>
      <c r="R32" s="62" t="s">
        <v>268</v>
      </c>
      <c r="S32" s="62" t="s">
        <v>272</v>
      </c>
      <c r="T32" s="62" t="s">
        <v>272</v>
      </c>
      <c r="U32" s="62" t="s">
        <v>268</v>
      </c>
      <c r="V32" s="62" t="s">
        <v>272</v>
      </c>
      <c r="W32" s="62" t="s">
        <v>268</v>
      </c>
      <c r="X32" s="63" t="s">
        <v>270</v>
      </c>
      <c r="Y32" s="64" t="s">
        <v>268</v>
      </c>
      <c r="Z32" s="64" t="s">
        <v>271</v>
      </c>
      <c r="AA32" s="62" t="s">
        <v>272</v>
      </c>
      <c r="AB32" s="59" t="s">
        <v>268</v>
      </c>
      <c r="AC32" s="59"/>
      <c r="AD32" s="59" t="s">
        <v>274</v>
      </c>
      <c r="AE32" s="57" t="s">
        <v>196</v>
      </c>
      <c r="AF32" s="63"/>
      <c r="AG32" s="62" t="s">
        <v>267</v>
      </c>
      <c r="AH32" s="62"/>
      <c r="AI32" s="62" t="s">
        <v>267</v>
      </c>
      <c r="AJ32" s="62" t="s">
        <v>267</v>
      </c>
      <c r="AK32" s="62"/>
      <c r="AL32" s="62" t="s">
        <v>267</v>
      </c>
      <c r="AM32" s="62" t="s">
        <v>267</v>
      </c>
      <c r="AN32" s="62" t="s">
        <v>267</v>
      </c>
      <c r="AO32" s="62" t="s">
        <v>267</v>
      </c>
      <c r="AP32" s="62"/>
      <c r="AQ32" s="62"/>
      <c r="AR32" s="62"/>
      <c r="AS32" s="62"/>
      <c r="AT32" s="62"/>
      <c r="AU32" s="62"/>
      <c r="AV32" s="62"/>
      <c r="AW32" s="62"/>
      <c r="AX32" s="62"/>
      <c r="AY32" s="62"/>
      <c r="AZ32" s="62"/>
      <c r="BA32" s="62"/>
      <c r="BB32" s="62" t="s">
        <v>267</v>
      </c>
      <c r="BC32" s="62"/>
      <c r="BD32" s="62"/>
      <c r="BE32" s="62"/>
      <c r="BF32" s="62"/>
      <c r="BG32" s="62"/>
      <c r="BH32" s="62"/>
      <c r="BI32" s="62"/>
      <c r="BJ32" s="62"/>
      <c r="BK32" s="62"/>
      <c r="BL32" s="62"/>
      <c r="BM32" s="62" t="s">
        <v>267</v>
      </c>
      <c r="BN32" s="62" t="s">
        <v>267</v>
      </c>
      <c r="BO32" s="62" t="s">
        <v>267</v>
      </c>
      <c r="BP32" s="62"/>
      <c r="BQ32" s="62"/>
      <c r="BR32" s="62"/>
      <c r="BS32" s="62"/>
      <c r="BT32" s="62"/>
      <c r="BU32" s="62"/>
      <c r="BV32" s="62"/>
      <c r="BW32" s="62"/>
      <c r="BX32" s="62" t="s">
        <v>267</v>
      </c>
      <c r="BY32" s="62" t="s">
        <v>267</v>
      </c>
      <c r="BZ32" s="62" t="s">
        <v>267</v>
      </c>
      <c r="CA32" s="62"/>
      <c r="CB32" s="62"/>
      <c r="CC32" s="62"/>
      <c r="CD32" s="62"/>
      <c r="CE32" s="62"/>
      <c r="CF32" s="62"/>
      <c r="CG32" s="62"/>
      <c r="CH32" s="62"/>
      <c r="CI32" s="62"/>
      <c r="CJ32" s="62"/>
      <c r="CK32" s="62"/>
      <c r="CL32" s="62" t="s">
        <v>267</v>
      </c>
      <c r="CM32" s="62" t="s">
        <v>267</v>
      </c>
      <c r="CN32" s="62" t="s">
        <v>267</v>
      </c>
      <c r="CO32" s="62"/>
      <c r="CP32" s="62"/>
      <c r="CQ32" s="62"/>
      <c r="CR32" s="62"/>
      <c r="CS32" s="62"/>
      <c r="CT32" s="62"/>
      <c r="CU32" s="62"/>
      <c r="CV32" s="62"/>
      <c r="CW32" s="62" t="s">
        <v>267</v>
      </c>
      <c r="CX32" s="62" t="s">
        <v>267</v>
      </c>
      <c r="CY32" s="62" t="s">
        <v>267</v>
      </c>
      <c r="CZ32" s="62"/>
      <c r="DA32" s="62"/>
      <c r="DB32" s="62"/>
      <c r="DC32" s="62"/>
      <c r="DD32" s="62"/>
      <c r="DE32" s="62"/>
      <c r="DF32" s="62"/>
      <c r="DG32" s="62"/>
      <c r="DH32" s="62"/>
      <c r="DI32" s="62" t="s">
        <v>267</v>
      </c>
      <c r="DJ32" s="62"/>
      <c r="DK32" s="62"/>
      <c r="DL32" s="62"/>
      <c r="DM32" s="62" t="s">
        <v>267</v>
      </c>
      <c r="DN32" s="62" t="s">
        <v>267</v>
      </c>
      <c r="DO32" s="62"/>
      <c r="DP32" s="62" t="s">
        <v>121</v>
      </c>
      <c r="DQ32" s="62"/>
      <c r="DR32" s="62"/>
      <c r="DS32" s="62"/>
      <c r="DT32" s="62"/>
      <c r="DU32" s="62"/>
      <c r="DV32" s="62"/>
      <c r="DW32" s="62" t="s">
        <v>275</v>
      </c>
      <c r="DX32" s="62" t="s">
        <v>274</v>
      </c>
      <c r="DY32" s="62" t="s">
        <v>275</v>
      </c>
      <c r="DZ32" s="62"/>
      <c r="EA32" s="62" t="s">
        <v>275</v>
      </c>
      <c r="EB32" s="65"/>
      <c r="EC32" s="62"/>
      <c r="ED32" s="65"/>
      <c r="EE32" s="65" t="s">
        <v>479</v>
      </c>
      <c r="EF32" s="56"/>
      <c r="EG32" s="65"/>
      <c r="EH32" s="63"/>
      <c r="EI32" s="86"/>
      <c r="EJ32" s="86"/>
    </row>
    <row r="33" spans="1:140" ht="55.5" customHeight="1" outlineLevel="1" x14ac:dyDescent="0.25">
      <c r="A33" s="91"/>
      <c r="B33" s="121" t="s">
        <v>388</v>
      </c>
      <c r="C33" s="56" t="s">
        <v>388</v>
      </c>
      <c r="D33" s="65" t="s">
        <v>558</v>
      </c>
      <c r="E33" s="56"/>
      <c r="F33" s="57" t="s">
        <v>279</v>
      </c>
      <c r="G33" s="57" t="s">
        <v>623</v>
      </c>
      <c r="H33" s="58"/>
      <c r="I33" s="62" t="s">
        <v>196</v>
      </c>
      <c r="J33" s="62" t="s">
        <v>196</v>
      </c>
      <c r="K33" s="57" t="s">
        <v>198</v>
      </c>
      <c r="L33" s="62"/>
      <c r="M33" s="62" t="s">
        <v>267</v>
      </c>
      <c r="N33" s="62" t="s">
        <v>267</v>
      </c>
      <c r="O33" s="62" t="s">
        <v>559</v>
      </c>
      <c r="P33" s="62"/>
      <c r="Q33" s="62" t="s">
        <v>268</v>
      </c>
      <c r="R33" s="62" t="s">
        <v>268</v>
      </c>
      <c r="S33" s="62" t="s">
        <v>272</v>
      </c>
      <c r="T33" s="62" t="s">
        <v>272</v>
      </c>
      <c r="U33" s="62" t="s">
        <v>268</v>
      </c>
      <c r="V33" s="62" t="s">
        <v>272</v>
      </c>
      <c r="W33" s="62" t="s">
        <v>268</v>
      </c>
      <c r="X33" s="63" t="s">
        <v>270</v>
      </c>
      <c r="Y33" s="64" t="s">
        <v>268</v>
      </c>
      <c r="Z33" s="64" t="s">
        <v>271</v>
      </c>
      <c r="AA33" s="62" t="s">
        <v>272</v>
      </c>
      <c r="AB33" s="59" t="s">
        <v>268</v>
      </c>
      <c r="AC33" s="59"/>
      <c r="AD33" s="59" t="s">
        <v>274</v>
      </c>
      <c r="AE33" s="57" t="s">
        <v>196</v>
      </c>
      <c r="AF33" s="63"/>
      <c r="AG33" s="62" t="s">
        <v>267</v>
      </c>
      <c r="AH33" s="62"/>
      <c r="AI33" s="62" t="s">
        <v>267</v>
      </c>
      <c r="AJ33" s="62" t="s">
        <v>267</v>
      </c>
      <c r="AK33" s="62"/>
      <c r="AL33" s="62" t="s">
        <v>267</v>
      </c>
      <c r="AM33" s="62" t="s">
        <v>267</v>
      </c>
      <c r="AN33" s="62" t="s">
        <v>267</v>
      </c>
      <c r="AO33" s="62" t="s">
        <v>267</v>
      </c>
      <c r="AP33" s="62"/>
      <c r="AQ33" s="62"/>
      <c r="AR33" s="62"/>
      <c r="AS33" s="62"/>
      <c r="AT33" s="62"/>
      <c r="AU33" s="62"/>
      <c r="AV33" s="62"/>
      <c r="AW33" s="62"/>
      <c r="AX33" s="62"/>
      <c r="AY33" s="62"/>
      <c r="AZ33" s="62"/>
      <c r="BA33" s="62"/>
      <c r="BB33" s="62" t="s">
        <v>267</v>
      </c>
      <c r="BC33" s="62"/>
      <c r="BD33" s="62"/>
      <c r="BE33" s="62"/>
      <c r="BF33" s="62"/>
      <c r="BG33" s="62"/>
      <c r="BH33" s="62"/>
      <c r="BI33" s="62"/>
      <c r="BJ33" s="62"/>
      <c r="BK33" s="62"/>
      <c r="BL33" s="62"/>
      <c r="BM33" s="62" t="s">
        <v>267</v>
      </c>
      <c r="BN33" s="62" t="s">
        <v>267</v>
      </c>
      <c r="BO33" s="62" t="s">
        <v>267</v>
      </c>
      <c r="BP33" s="62"/>
      <c r="BQ33" s="62"/>
      <c r="BR33" s="62"/>
      <c r="BS33" s="62"/>
      <c r="BT33" s="62"/>
      <c r="BU33" s="62"/>
      <c r="BV33" s="62"/>
      <c r="BW33" s="62"/>
      <c r="BX33" s="62" t="s">
        <v>267</v>
      </c>
      <c r="BY33" s="62" t="s">
        <v>267</v>
      </c>
      <c r="BZ33" s="62" t="s">
        <v>267</v>
      </c>
      <c r="CA33" s="62"/>
      <c r="CB33" s="62"/>
      <c r="CC33" s="62"/>
      <c r="CD33" s="62"/>
      <c r="CE33" s="62"/>
      <c r="CF33" s="62"/>
      <c r="CG33" s="62"/>
      <c r="CH33" s="62"/>
      <c r="CI33" s="62"/>
      <c r="CJ33" s="62"/>
      <c r="CK33" s="62"/>
      <c r="CL33" s="62" t="s">
        <v>267</v>
      </c>
      <c r="CM33" s="62" t="s">
        <v>267</v>
      </c>
      <c r="CN33" s="62" t="s">
        <v>267</v>
      </c>
      <c r="CO33" s="62"/>
      <c r="CP33" s="62"/>
      <c r="CQ33" s="62"/>
      <c r="CR33" s="62"/>
      <c r="CS33" s="62"/>
      <c r="CT33" s="62"/>
      <c r="CU33" s="62"/>
      <c r="CV33" s="62"/>
      <c r="CW33" s="62" t="s">
        <v>267</v>
      </c>
      <c r="CX33" s="62" t="s">
        <v>267</v>
      </c>
      <c r="CY33" s="62" t="s">
        <v>267</v>
      </c>
      <c r="CZ33" s="62"/>
      <c r="DA33" s="62"/>
      <c r="DB33" s="62"/>
      <c r="DC33" s="62"/>
      <c r="DD33" s="62"/>
      <c r="DE33" s="62"/>
      <c r="DF33" s="62"/>
      <c r="DG33" s="62"/>
      <c r="DH33" s="62"/>
      <c r="DI33" s="62" t="s">
        <v>267</v>
      </c>
      <c r="DJ33" s="62"/>
      <c r="DK33" s="62"/>
      <c r="DL33" s="62"/>
      <c r="DM33" s="62" t="s">
        <v>267</v>
      </c>
      <c r="DN33" s="62" t="s">
        <v>267</v>
      </c>
      <c r="DO33" s="62"/>
      <c r="DP33" s="62" t="s">
        <v>121</v>
      </c>
      <c r="DQ33" s="62"/>
      <c r="DR33" s="62"/>
      <c r="DS33" s="62"/>
      <c r="DT33" s="62"/>
      <c r="DU33" s="62"/>
      <c r="DV33" s="62"/>
      <c r="DW33" s="62" t="s">
        <v>275</v>
      </c>
      <c r="DX33" s="62" t="s">
        <v>274</v>
      </c>
      <c r="DY33" s="62" t="s">
        <v>275</v>
      </c>
      <c r="DZ33" s="62"/>
      <c r="EA33" s="62" t="s">
        <v>275</v>
      </c>
      <c r="EB33" s="65"/>
      <c r="EC33" s="62"/>
      <c r="ED33" s="65"/>
      <c r="EE33" s="65" t="s">
        <v>479</v>
      </c>
      <c r="EF33" s="56"/>
      <c r="EG33" s="65"/>
      <c r="EH33" s="63"/>
      <c r="EI33" s="86"/>
      <c r="EJ33" s="86"/>
    </row>
    <row r="34" spans="1:140" ht="55.5" customHeight="1" outlineLevel="1" x14ac:dyDescent="0.25">
      <c r="A34" s="91"/>
      <c r="B34" s="121" t="s">
        <v>388</v>
      </c>
      <c r="C34" s="56" t="s">
        <v>388</v>
      </c>
      <c r="D34" s="65" t="s">
        <v>695</v>
      </c>
      <c r="E34" s="56"/>
      <c r="F34" s="57" t="s">
        <v>279</v>
      </c>
      <c r="G34" s="57" t="s">
        <v>623</v>
      </c>
      <c r="H34" s="58"/>
      <c r="I34" s="62" t="s">
        <v>196</v>
      </c>
      <c r="J34" s="62" t="s">
        <v>196</v>
      </c>
      <c r="K34" s="57" t="s">
        <v>198</v>
      </c>
      <c r="L34" s="62"/>
      <c r="M34" s="62" t="s">
        <v>267</v>
      </c>
      <c r="N34" s="62" t="s">
        <v>267</v>
      </c>
      <c r="O34" s="62" t="s">
        <v>559</v>
      </c>
      <c r="P34" s="62"/>
      <c r="Q34" s="62" t="s">
        <v>268</v>
      </c>
      <c r="R34" s="62" t="s">
        <v>268</v>
      </c>
      <c r="S34" s="62" t="s">
        <v>272</v>
      </c>
      <c r="T34" s="62" t="s">
        <v>272</v>
      </c>
      <c r="U34" s="62" t="s">
        <v>268</v>
      </c>
      <c r="V34" s="62" t="s">
        <v>272</v>
      </c>
      <c r="W34" s="62" t="s">
        <v>268</v>
      </c>
      <c r="X34" s="63" t="s">
        <v>270</v>
      </c>
      <c r="Y34" s="64" t="s">
        <v>268</v>
      </c>
      <c r="Z34" s="64" t="s">
        <v>271</v>
      </c>
      <c r="AA34" s="62" t="s">
        <v>272</v>
      </c>
      <c r="AB34" s="59" t="s">
        <v>268</v>
      </c>
      <c r="AC34" s="59"/>
      <c r="AD34" s="59" t="s">
        <v>274</v>
      </c>
      <c r="AE34" s="57" t="s">
        <v>196</v>
      </c>
      <c r="AF34" s="63"/>
      <c r="AG34" s="62" t="s">
        <v>267</v>
      </c>
      <c r="AH34" s="62"/>
      <c r="AI34" s="62" t="s">
        <v>267</v>
      </c>
      <c r="AJ34" s="62" t="s">
        <v>267</v>
      </c>
      <c r="AK34" s="62"/>
      <c r="AL34" s="62" t="s">
        <v>267</v>
      </c>
      <c r="AM34" s="62" t="s">
        <v>267</v>
      </c>
      <c r="AN34" s="62" t="s">
        <v>267</v>
      </c>
      <c r="AO34" s="62" t="s">
        <v>267</v>
      </c>
      <c r="AP34" s="62"/>
      <c r="AQ34" s="62"/>
      <c r="AR34" s="62"/>
      <c r="AS34" s="62"/>
      <c r="AT34" s="62"/>
      <c r="AU34" s="62"/>
      <c r="AV34" s="62"/>
      <c r="AW34" s="62"/>
      <c r="AX34" s="62"/>
      <c r="AY34" s="62"/>
      <c r="AZ34" s="62"/>
      <c r="BA34" s="62"/>
      <c r="BB34" s="62" t="s">
        <v>267</v>
      </c>
      <c r="BC34" s="62"/>
      <c r="BD34" s="62"/>
      <c r="BE34" s="62"/>
      <c r="BF34" s="62"/>
      <c r="BG34" s="62"/>
      <c r="BH34" s="62"/>
      <c r="BI34" s="62"/>
      <c r="BJ34" s="62"/>
      <c r="BK34" s="62"/>
      <c r="BL34" s="62"/>
      <c r="BM34" s="62" t="s">
        <v>267</v>
      </c>
      <c r="BN34" s="62" t="s">
        <v>267</v>
      </c>
      <c r="BO34" s="62" t="s">
        <v>267</v>
      </c>
      <c r="BP34" s="62"/>
      <c r="BQ34" s="62"/>
      <c r="BR34" s="62"/>
      <c r="BS34" s="62"/>
      <c r="BT34" s="62"/>
      <c r="BU34" s="62"/>
      <c r="BV34" s="62"/>
      <c r="BW34" s="62"/>
      <c r="BX34" s="62" t="s">
        <v>267</v>
      </c>
      <c r="BY34" s="62" t="s">
        <v>267</v>
      </c>
      <c r="BZ34" s="62" t="s">
        <v>267</v>
      </c>
      <c r="CA34" s="62"/>
      <c r="CB34" s="62"/>
      <c r="CC34" s="62"/>
      <c r="CD34" s="62"/>
      <c r="CE34" s="62"/>
      <c r="CF34" s="62"/>
      <c r="CG34" s="62"/>
      <c r="CH34" s="62"/>
      <c r="CI34" s="62"/>
      <c r="CJ34" s="62"/>
      <c r="CK34" s="62"/>
      <c r="CL34" s="62" t="s">
        <v>267</v>
      </c>
      <c r="CM34" s="62" t="s">
        <v>267</v>
      </c>
      <c r="CN34" s="62" t="s">
        <v>267</v>
      </c>
      <c r="CO34" s="62"/>
      <c r="CP34" s="62"/>
      <c r="CQ34" s="62"/>
      <c r="CR34" s="62"/>
      <c r="CS34" s="62"/>
      <c r="CT34" s="62"/>
      <c r="CU34" s="62"/>
      <c r="CV34" s="62"/>
      <c r="CW34" s="62" t="s">
        <v>267</v>
      </c>
      <c r="CX34" s="62" t="s">
        <v>267</v>
      </c>
      <c r="CY34" s="62" t="s">
        <v>267</v>
      </c>
      <c r="CZ34" s="62"/>
      <c r="DA34" s="62"/>
      <c r="DB34" s="62"/>
      <c r="DC34" s="62"/>
      <c r="DD34" s="62"/>
      <c r="DE34" s="62"/>
      <c r="DF34" s="62"/>
      <c r="DG34" s="62"/>
      <c r="DH34" s="62"/>
      <c r="DI34" s="62" t="s">
        <v>267</v>
      </c>
      <c r="DJ34" s="62"/>
      <c r="DK34" s="62"/>
      <c r="DL34" s="62"/>
      <c r="DM34" s="62" t="s">
        <v>267</v>
      </c>
      <c r="DN34" s="62" t="s">
        <v>267</v>
      </c>
      <c r="DO34" s="62"/>
      <c r="DP34" s="62" t="s">
        <v>121</v>
      </c>
      <c r="DQ34" s="62"/>
      <c r="DR34" s="62"/>
      <c r="DS34" s="62"/>
      <c r="DT34" s="62"/>
      <c r="DU34" s="62"/>
      <c r="DV34" s="62"/>
      <c r="DW34" s="62" t="s">
        <v>275</v>
      </c>
      <c r="DX34" s="62" t="s">
        <v>274</v>
      </c>
      <c r="DY34" s="62" t="s">
        <v>275</v>
      </c>
      <c r="DZ34" s="62"/>
      <c r="EA34" s="62" t="s">
        <v>275</v>
      </c>
      <c r="EB34" s="65"/>
      <c r="EC34" s="62"/>
      <c r="ED34" s="65"/>
      <c r="EE34" s="65" t="s">
        <v>479</v>
      </c>
      <c r="EF34" s="56"/>
      <c r="EG34" s="65"/>
      <c r="EH34" s="63"/>
      <c r="EI34" s="86"/>
      <c r="EJ34" s="86"/>
    </row>
    <row r="35" spans="1:140" ht="55.5" customHeight="1" outlineLevel="1" x14ac:dyDescent="0.25">
      <c r="A35" s="91"/>
      <c r="B35" s="121" t="s">
        <v>388</v>
      </c>
      <c r="C35" s="56" t="s">
        <v>388</v>
      </c>
      <c r="D35" s="65" t="s">
        <v>693</v>
      </c>
      <c r="E35" s="56"/>
      <c r="F35" s="57" t="s">
        <v>279</v>
      </c>
      <c r="G35" s="57" t="s">
        <v>623</v>
      </c>
      <c r="H35" s="58"/>
      <c r="I35" s="62" t="s">
        <v>196</v>
      </c>
      <c r="J35" s="62" t="s">
        <v>196</v>
      </c>
      <c r="K35" s="57" t="s">
        <v>198</v>
      </c>
      <c r="L35" s="62"/>
      <c r="M35" s="62" t="s">
        <v>267</v>
      </c>
      <c r="N35" s="62" t="s">
        <v>267</v>
      </c>
      <c r="O35" s="62" t="s">
        <v>559</v>
      </c>
      <c r="P35" s="62"/>
      <c r="Q35" s="62" t="s">
        <v>268</v>
      </c>
      <c r="R35" s="62" t="s">
        <v>268</v>
      </c>
      <c r="S35" s="62" t="s">
        <v>272</v>
      </c>
      <c r="T35" s="62" t="s">
        <v>272</v>
      </c>
      <c r="U35" s="62" t="s">
        <v>268</v>
      </c>
      <c r="V35" s="62" t="s">
        <v>272</v>
      </c>
      <c r="W35" s="62" t="s">
        <v>268</v>
      </c>
      <c r="X35" s="63" t="s">
        <v>270</v>
      </c>
      <c r="Y35" s="64" t="s">
        <v>268</v>
      </c>
      <c r="Z35" s="64" t="s">
        <v>271</v>
      </c>
      <c r="AA35" s="62" t="s">
        <v>272</v>
      </c>
      <c r="AB35" s="59" t="s">
        <v>268</v>
      </c>
      <c r="AC35" s="59"/>
      <c r="AD35" s="59" t="s">
        <v>274</v>
      </c>
      <c r="AE35" s="57" t="s">
        <v>196</v>
      </c>
      <c r="AF35" s="63"/>
      <c r="AG35" s="62" t="s">
        <v>267</v>
      </c>
      <c r="AH35" s="62"/>
      <c r="AI35" s="62" t="s">
        <v>267</v>
      </c>
      <c r="AJ35" s="62" t="s">
        <v>267</v>
      </c>
      <c r="AK35" s="62"/>
      <c r="AL35" s="62" t="s">
        <v>267</v>
      </c>
      <c r="AM35" s="62" t="s">
        <v>267</v>
      </c>
      <c r="AN35" s="62" t="s">
        <v>267</v>
      </c>
      <c r="AO35" s="62" t="s">
        <v>267</v>
      </c>
      <c r="AP35" s="62"/>
      <c r="AQ35" s="62"/>
      <c r="AR35" s="62"/>
      <c r="AS35" s="62"/>
      <c r="AT35" s="62"/>
      <c r="AU35" s="62"/>
      <c r="AV35" s="62"/>
      <c r="AW35" s="62"/>
      <c r="AX35" s="62"/>
      <c r="AY35" s="62"/>
      <c r="AZ35" s="62"/>
      <c r="BA35" s="62"/>
      <c r="BB35" s="62" t="s">
        <v>267</v>
      </c>
      <c r="BC35" s="62"/>
      <c r="BD35" s="62"/>
      <c r="BE35" s="62"/>
      <c r="BF35" s="62"/>
      <c r="BG35" s="62"/>
      <c r="BH35" s="62"/>
      <c r="BI35" s="62"/>
      <c r="BJ35" s="62"/>
      <c r="BK35" s="62"/>
      <c r="BL35" s="62"/>
      <c r="BM35" s="62" t="s">
        <v>267</v>
      </c>
      <c r="BN35" s="62" t="s">
        <v>267</v>
      </c>
      <c r="BO35" s="62" t="s">
        <v>267</v>
      </c>
      <c r="BP35" s="62"/>
      <c r="BQ35" s="62"/>
      <c r="BR35" s="62"/>
      <c r="BS35" s="62"/>
      <c r="BT35" s="62"/>
      <c r="BU35" s="62"/>
      <c r="BV35" s="62"/>
      <c r="BW35" s="62"/>
      <c r="BX35" s="62" t="s">
        <v>267</v>
      </c>
      <c r="BY35" s="62" t="s">
        <v>267</v>
      </c>
      <c r="BZ35" s="62" t="s">
        <v>267</v>
      </c>
      <c r="CA35" s="62"/>
      <c r="CB35" s="62"/>
      <c r="CC35" s="62"/>
      <c r="CD35" s="62"/>
      <c r="CE35" s="62"/>
      <c r="CF35" s="62"/>
      <c r="CG35" s="62"/>
      <c r="CH35" s="62"/>
      <c r="CI35" s="62"/>
      <c r="CJ35" s="62"/>
      <c r="CK35" s="62"/>
      <c r="CL35" s="62" t="s">
        <v>267</v>
      </c>
      <c r="CM35" s="62" t="s">
        <v>267</v>
      </c>
      <c r="CN35" s="62" t="s">
        <v>267</v>
      </c>
      <c r="CO35" s="62"/>
      <c r="CP35" s="62"/>
      <c r="CQ35" s="62"/>
      <c r="CR35" s="62"/>
      <c r="CS35" s="62"/>
      <c r="CT35" s="62"/>
      <c r="CU35" s="62"/>
      <c r="CV35" s="62"/>
      <c r="CW35" s="62" t="s">
        <v>267</v>
      </c>
      <c r="CX35" s="62" t="s">
        <v>267</v>
      </c>
      <c r="CY35" s="62" t="s">
        <v>267</v>
      </c>
      <c r="CZ35" s="62"/>
      <c r="DA35" s="62"/>
      <c r="DB35" s="62"/>
      <c r="DC35" s="62"/>
      <c r="DD35" s="62"/>
      <c r="DE35" s="62"/>
      <c r="DF35" s="62"/>
      <c r="DG35" s="62"/>
      <c r="DH35" s="62"/>
      <c r="DI35" s="62" t="s">
        <v>267</v>
      </c>
      <c r="DJ35" s="62"/>
      <c r="DK35" s="62"/>
      <c r="DL35" s="62"/>
      <c r="DM35" s="62" t="s">
        <v>267</v>
      </c>
      <c r="DN35" s="62" t="s">
        <v>267</v>
      </c>
      <c r="DO35" s="62"/>
      <c r="DP35" s="62" t="s">
        <v>121</v>
      </c>
      <c r="DQ35" s="62"/>
      <c r="DR35" s="62"/>
      <c r="DS35" s="62"/>
      <c r="DT35" s="62"/>
      <c r="DU35" s="62"/>
      <c r="DV35" s="62"/>
      <c r="DW35" s="62" t="s">
        <v>275</v>
      </c>
      <c r="DX35" s="62" t="s">
        <v>274</v>
      </c>
      <c r="DY35" s="62" t="s">
        <v>275</v>
      </c>
      <c r="DZ35" s="62"/>
      <c r="EA35" s="62" t="s">
        <v>275</v>
      </c>
      <c r="EB35" s="65"/>
      <c r="EC35" s="62"/>
      <c r="ED35" s="65"/>
      <c r="EE35" s="65" t="s">
        <v>479</v>
      </c>
      <c r="EF35" s="56"/>
      <c r="EG35" s="65"/>
      <c r="EH35" s="63"/>
      <c r="EI35" s="86"/>
      <c r="EJ35" s="86"/>
    </row>
    <row r="36" spans="1:140" ht="55.5" customHeight="1" outlineLevel="1" x14ac:dyDescent="0.25">
      <c r="A36" s="91"/>
      <c r="B36" s="127" t="s">
        <v>684</v>
      </c>
      <c r="C36" s="56" t="s">
        <v>666</v>
      </c>
      <c r="D36" s="56" t="s">
        <v>168</v>
      </c>
      <c r="E36" s="56" t="s">
        <v>389</v>
      </c>
      <c r="F36" s="57" t="s">
        <v>279</v>
      </c>
      <c r="G36" s="57" t="s">
        <v>668</v>
      </c>
      <c r="H36" s="58"/>
      <c r="I36" s="57" t="s">
        <v>196</v>
      </c>
      <c r="J36" s="57" t="s">
        <v>196</v>
      </c>
      <c r="K36" s="57" t="s">
        <v>196</v>
      </c>
      <c r="L36" s="57" t="s">
        <v>382</v>
      </c>
      <c r="M36" s="57"/>
      <c r="N36" s="57" t="s">
        <v>267</v>
      </c>
      <c r="O36" s="57"/>
      <c r="P36" s="57"/>
      <c r="Q36" s="57" t="s">
        <v>272</v>
      </c>
      <c r="R36" s="57" t="s">
        <v>272</v>
      </c>
      <c r="S36" s="57" t="s">
        <v>272</v>
      </c>
      <c r="T36" s="57" t="s">
        <v>272</v>
      </c>
      <c r="U36" s="57" t="s">
        <v>269</v>
      </c>
      <c r="V36" s="62" t="s">
        <v>272</v>
      </c>
      <c r="W36" s="62" t="s">
        <v>269</v>
      </c>
      <c r="X36" s="63" t="s">
        <v>295</v>
      </c>
      <c r="Y36" s="64" t="s">
        <v>269</v>
      </c>
      <c r="Z36" s="64" t="s">
        <v>269</v>
      </c>
      <c r="AA36" s="62" t="s">
        <v>272</v>
      </c>
      <c r="AB36" s="59" t="s">
        <v>272</v>
      </c>
      <c r="AC36" s="59"/>
      <c r="AD36" s="59" t="s">
        <v>274</v>
      </c>
      <c r="AE36" s="57"/>
      <c r="AF36" s="63" t="s">
        <v>383</v>
      </c>
      <c r="AG36" s="62"/>
      <c r="AH36" s="62" t="s">
        <v>267</v>
      </c>
      <c r="AI36" s="62" t="s">
        <v>267</v>
      </c>
      <c r="AJ36" s="62" t="s">
        <v>267</v>
      </c>
      <c r="AK36" s="62" t="s">
        <v>83</v>
      </c>
      <c r="AL36" s="62" t="s">
        <v>267</v>
      </c>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2"/>
      <c r="BU36" s="62"/>
      <c r="BV36" s="62"/>
      <c r="BW36" s="62"/>
      <c r="BX36" s="62"/>
      <c r="BY36" s="62"/>
      <c r="BZ36" s="62"/>
      <c r="CA36" s="62"/>
      <c r="CB36" s="62"/>
      <c r="CC36" s="62"/>
      <c r="CD36" s="62"/>
      <c r="CE36" s="62"/>
      <c r="CF36" s="62"/>
      <c r="CG36" s="62"/>
      <c r="CH36" s="62"/>
      <c r="CI36" s="62"/>
      <c r="CJ36" s="62"/>
      <c r="CK36" s="62"/>
      <c r="CL36" s="62"/>
      <c r="CM36" s="62"/>
      <c r="CN36" s="62"/>
      <c r="CO36" s="62"/>
      <c r="CP36" s="62"/>
      <c r="CQ36" s="62"/>
      <c r="CR36" s="62"/>
      <c r="CS36" s="62"/>
      <c r="CT36" s="62"/>
      <c r="CU36" s="62"/>
      <c r="CV36" s="62"/>
      <c r="CW36" s="62"/>
      <c r="CX36" s="62"/>
      <c r="CY36" s="62"/>
      <c r="CZ36" s="62"/>
      <c r="DA36" s="62"/>
      <c r="DB36" s="62"/>
      <c r="DC36" s="62"/>
      <c r="DD36" s="62"/>
      <c r="DE36" s="62"/>
      <c r="DF36" s="62"/>
      <c r="DG36" s="62"/>
      <c r="DH36" s="62"/>
      <c r="DI36" s="62"/>
      <c r="DJ36" s="62"/>
      <c r="DK36" s="62"/>
      <c r="DL36" s="62"/>
      <c r="DM36" s="62"/>
      <c r="DN36" s="62"/>
      <c r="DO36" s="62"/>
      <c r="DP36" s="62" t="s">
        <v>225</v>
      </c>
      <c r="DQ36" s="62"/>
      <c r="DR36" s="62"/>
      <c r="DS36" s="62"/>
      <c r="DT36" s="62"/>
      <c r="DU36" s="62"/>
      <c r="DV36" s="62"/>
      <c r="DW36" s="62" t="s">
        <v>274</v>
      </c>
      <c r="DX36" s="62" t="s">
        <v>274</v>
      </c>
      <c r="DY36" s="62" t="s">
        <v>274</v>
      </c>
      <c r="DZ36" s="62" t="s">
        <v>274</v>
      </c>
      <c r="EA36" s="62" t="s">
        <v>274</v>
      </c>
      <c r="EB36" s="65"/>
      <c r="EC36" s="62" t="s">
        <v>275</v>
      </c>
      <c r="ED36" s="56"/>
      <c r="EE36" s="56"/>
      <c r="EF36" s="56"/>
      <c r="EG36" s="56"/>
      <c r="EH36" s="58"/>
      <c r="EI36" s="86"/>
      <c r="EJ36" s="86"/>
    </row>
    <row r="37" spans="1:140" ht="55.5" customHeight="1" outlineLevel="1" x14ac:dyDescent="0.25">
      <c r="A37" s="91"/>
      <c r="B37" s="127" t="s">
        <v>684</v>
      </c>
      <c r="C37" s="56" t="s">
        <v>666</v>
      </c>
      <c r="D37" s="56" t="s">
        <v>169</v>
      </c>
      <c r="E37" s="56" t="s">
        <v>390</v>
      </c>
      <c r="F37" s="57" t="s">
        <v>279</v>
      </c>
      <c r="G37" s="57" t="s">
        <v>668</v>
      </c>
      <c r="H37" s="58"/>
      <c r="I37" s="57" t="s">
        <v>196</v>
      </c>
      <c r="J37" s="57" t="s">
        <v>196</v>
      </c>
      <c r="K37" s="57" t="s">
        <v>196</v>
      </c>
      <c r="L37" s="57" t="s">
        <v>382</v>
      </c>
      <c r="M37" s="57"/>
      <c r="N37" s="57" t="s">
        <v>267</v>
      </c>
      <c r="O37" s="57"/>
      <c r="P37" s="57"/>
      <c r="Q37" s="57" t="s">
        <v>272</v>
      </c>
      <c r="R37" s="57" t="s">
        <v>272</v>
      </c>
      <c r="S37" s="57" t="s">
        <v>272</v>
      </c>
      <c r="T37" s="57" t="s">
        <v>272</v>
      </c>
      <c r="U37" s="57" t="s">
        <v>269</v>
      </c>
      <c r="V37" s="62" t="s">
        <v>272</v>
      </c>
      <c r="W37" s="62" t="s">
        <v>269</v>
      </c>
      <c r="X37" s="63" t="s">
        <v>295</v>
      </c>
      <c r="Y37" s="64" t="s">
        <v>269</v>
      </c>
      <c r="Z37" s="64" t="s">
        <v>269</v>
      </c>
      <c r="AA37" s="62" t="s">
        <v>272</v>
      </c>
      <c r="AB37" s="59" t="s">
        <v>272</v>
      </c>
      <c r="AC37" s="59"/>
      <c r="AD37" s="59" t="s">
        <v>274</v>
      </c>
      <c r="AE37" s="57"/>
      <c r="AF37" s="63" t="s">
        <v>383</v>
      </c>
      <c r="AG37" s="62"/>
      <c r="AH37" s="62" t="s">
        <v>267</v>
      </c>
      <c r="AI37" s="62" t="s">
        <v>267</v>
      </c>
      <c r="AJ37" s="62" t="s">
        <v>267</v>
      </c>
      <c r="AK37" s="62"/>
      <c r="AL37" s="62" t="s">
        <v>267</v>
      </c>
      <c r="AM37" s="62"/>
      <c r="AN37" s="62"/>
      <c r="AO37" s="62"/>
      <c r="AP37" s="62"/>
      <c r="AQ37" s="62"/>
      <c r="AR37" s="62"/>
      <c r="AS37" s="62"/>
      <c r="AT37" s="62"/>
      <c r="AU37" s="62"/>
      <c r="AV37" s="62"/>
      <c r="AW37" s="62"/>
      <c r="AX37" s="62"/>
      <c r="AY37" s="62"/>
      <c r="AZ37" s="62"/>
      <c r="BA37" s="62"/>
      <c r="BB37" s="62"/>
      <c r="BC37" s="62"/>
      <c r="BD37" s="62"/>
      <c r="BE37" s="62"/>
      <c r="BF37" s="62"/>
      <c r="BG37" s="62"/>
      <c r="BH37" s="62"/>
      <c r="BI37" s="62"/>
      <c r="BJ37" s="62"/>
      <c r="BK37" s="62"/>
      <c r="BL37" s="62"/>
      <c r="BM37" s="62"/>
      <c r="BN37" s="62"/>
      <c r="BO37" s="62"/>
      <c r="BP37" s="62"/>
      <c r="BQ37" s="62"/>
      <c r="BR37" s="62"/>
      <c r="BS37" s="62"/>
      <c r="BT37" s="62"/>
      <c r="BU37" s="62"/>
      <c r="BV37" s="62"/>
      <c r="BW37" s="62"/>
      <c r="BX37" s="62"/>
      <c r="BY37" s="62"/>
      <c r="BZ37" s="62"/>
      <c r="CA37" s="62"/>
      <c r="CB37" s="62"/>
      <c r="CC37" s="62"/>
      <c r="CD37" s="62"/>
      <c r="CE37" s="62"/>
      <c r="CF37" s="62"/>
      <c r="CG37" s="62"/>
      <c r="CH37" s="62"/>
      <c r="CI37" s="62"/>
      <c r="CJ37" s="62"/>
      <c r="CK37" s="62"/>
      <c r="CL37" s="62"/>
      <c r="CM37" s="62"/>
      <c r="CN37" s="62"/>
      <c r="CO37" s="62"/>
      <c r="CP37" s="62"/>
      <c r="CQ37" s="62"/>
      <c r="CR37" s="62"/>
      <c r="CS37" s="62"/>
      <c r="CT37" s="62"/>
      <c r="CU37" s="62"/>
      <c r="CV37" s="62"/>
      <c r="CW37" s="62"/>
      <c r="CX37" s="62"/>
      <c r="CY37" s="62"/>
      <c r="CZ37" s="62"/>
      <c r="DA37" s="62"/>
      <c r="DB37" s="62"/>
      <c r="DC37" s="62"/>
      <c r="DD37" s="62"/>
      <c r="DE37" s="62"/>
      <c r="DF37" s="62"/>
      <c r="DG37" s="62"/>
      <c r="DH37" s="62"/>
      <c r="DI37" s="62"/>
      <c r="DJ37" s="62"/>
      <c r="DK37" s="62"/>
      <c r="DL37" s="62"/>
      <c r="DM37" s="62"/>
      <c r="DN37" s="62"/>
      <c r="DO37" s="62"/>
      <c r="DP37" s="62" t="s">
        <v>225</v>
      </c>
      <c r="DQ37" s="62"/>
      <c r="DR37" s="62"/>
      <c r="DS37" s="62"/>
      <c r="DT37" s="62"/>
      <c r="DU37" s="62"/>
      <c r="DV37" s="62"/>
      <c r="DW37" s="62" t="s">
        <v>274</v>
      </c>
      <c r="DX37" s="62" t="s">
        <v>274</v>
      </c>
      <c r="DY37" s="62" t="s">
        <v>274</v>
      </c>
      <c r="DZ37" s="62" t="s">
        <v>274</v>
      </c>
      <c r="EA37" s="62" t="s">
        <v>274</v>
      </c>
      <c r="EB37" s="65" t="s">
        <v>391</v>
      </c>
      <c r="EC37" s="62" t="s">
        <v>275</v>
      </c>
      <c r="ED37" s="56"/>
      <c r="EE37" s="56"/>
      <c r="EF37" s="56"/>
      <c r="EG37" s="56"/>
      <c r="EH37" s="58"/>
      <c r="EI37" s="86"/>
      <c r="EJ37" s="86"/>
    </row>
    <row r="38" spans="1:140" ht="69.75" customHeight="1" outlineLevel="1" x14ac:dyDescent="0.25">
      <c r="A38" s="91"/>
      <c r="B38" s="127" t="s">
        <v>684</v>
      </c>
      <c r="C38" s="56" t="s">
        <v>666</v>
      </c>
      <c r="D38" s="56" t="s">
        <v>166</v>
      </c>
      <c r="E38" s="56" t="s">
        <v>386</v>
      </c>
      <c r="F38" s="57" t="s">
        <v>279</v>
      </c>
      <c r="G38" s="57" t="s">
        <v>668</v>
      </c>
      <c r="H38" s="58"/>
      <c r="I38" s="57" t="s">
        <v>196</v>
      </c>
      <c r="J38" s="57" t="s">
        <v>196</v>
      </c>
      <c r="K38" s="57" t="s">
        <v>196</v>
      </c>
      <c r="L38" s="57" t="s">
        <v>382</v>
      </c>
      <c r="M38" s="57"/>
      <c r="N38" s="57" t="s">
        <v>267</v>
      </c>
      <c r="O38" s="57"/>
      <c r="P38" s="57"/>
      <c r="Q38" s="57" t="s">
        <v>268</v>
      </c>
      <c r="R38" s="57" t="s">
        <v>268</v>
      </c>
      <c r="S38" s="57" t="s">
        <v>272</v>
      </c>
      <c r="T38" s="57" t="s">
        <v>272</v>
      </c>
      <c r="U38" s="57" t="s">
        <v>268</v>
      </c>
      <c r="V38" s="62" t="s">
        <v>272</v>
      </c>
      <c r="W38" s="62" t="s">
        <v>268</v>
      </c>
      <c r="X38" s="63" t="s">
        <v>295</v>
      </c>
      <c r="Y38" s="64" t="s">
        <v>269</v>
      </c>
      <c r="Z38" s="64" t="s">
        <v>269</v>
      </c>
      <c r="AA38" s="62" t="s">
        <v>272</v>
      </c>
      <c r="AB38" s="59" t="s">
        <v>272</v>
      </c>
      <c r="AC38" s="59"/>
      <c r="AD38" s="59" t="s">
        <v>274</v>
      </c>
      <c r="AE38" s="57"/>
      <c r="AF38" s="63" t="s">
        <v>383</v>
      </c>
      <c r="AG38" s="62"/>
      <c r="AH38" s="62" t="s">
        <v>267</v>
      </c>
      <c r="AI38" s="62" t="s">
        <v>267</v>
      </c>
      <c r="AJ38" s="62" t="s">
        <v>267</v>
      </c>
      <c r="AK38" s="62"/>
      <c r="AL38" s="62" t="s">
        <v>267</v>
      </c>
      <c r="AM38" s="62" t="s">
        <v>267</v>
      </c>
      <c r="AN38" s="62" t="s">
        <v>267</v>
      </c>
      <c r="AO38" s="62" t="s">
        <v>267</v>
      </c>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t="s">
        <v>267</v>
      </c>
      <c r="BP38" s="62"/>
      <c r="BQ38" s="62"/>
      <c r="BR38" s="62"/>
      <c r="BS38" s="62"/>
      <c r="BT38" s="62"/>
      <c r="BU38" s="62"/>
      <c r="BV38" s="62"/>
      <c r="BW38" s="62"/>
      <c r="BX38" s="62"/>
      <c r="BY38" s="62"/>
      <c r="BZ38" s="62" t="s">
        <v>267</v>
      </c>
      <c r="CA38" s="62"/>
      <c r="CB38" s="62"/>
      <c r="CC38" s="62"/>
      <c r="CD38" s="62"/>
      <c r="CE38" s="62"/>
      <c r="CF38" s="62"/>
      <c r="CG38" s="62"/>
      <c r="CH38" s="62"/>
      <c r="CI38" s="62"/>
      <c r="CJ38" s="62"/>
      <c r="CK38" s="62"/>
      <c r="CL38" s="62"/>
      <c r="CM38" s="62"/>
      <c r="CN38" s="62" t="s">
        <v>267</v>
      </c>
      <c r="CO38" s="62"/>
      <c r="CP38" s="62"/>
      <c r="CQ38" s="62"/>
      <c r="CR38" s="62"/>
      <c r="CS38" s="62"/>
      <c r="CT38" s="62"/>
      <c r="CU38" s="62"/>
      <c r="CV38" s="62"/>
      <c r="CW38" s="62"/>
      <c r="CX38" s="62"/>
      <c r="CY38" s="62" t="s">
        <v>267</v>
      </c>
      <c r="CZ38" s="62"/>
      <c r="DA38" s="62"/>
      <c r="DB38" s="62"/>
      <c r="DC38" s="62"/>
      <c r="DD38" s="62"/>
      <c r="DE38" s="62"/>
      <c r="DF38" s="62"/>
      <c r="DG38" s="62"/>
      <c r="DH38" s="62"/>
      <c r="DI38" s="62"/>
      <c r="DJ38" s="62"/>
      <c r="DK38" s="62"/>
      <c r="DL38" s="62"/>
      <c r="DM38" s="62"/>
      <c r="DN38" s="62" t="s">
        <v>267</v>
      </c>
      <c r="DO38" s="62"/>
      <c r="DP38" s="62" t="s">
        <v>225</v>
      </c>
      <c r="DQ38" s="62"/>
      <c r="DR38" s="62"/>
      <c r="DS38" s="62"/>
      <c r="DT38" s="62"/>
      <c r="DU38" s="62"/>
      <c r="DV38" s="62"/>
      <c r="DW38" s="62" t="s">
        <v>274</v>
      </c>
      <c r="DX38" s="62" t="s">
        <v>274</v>
      </c>
      <c r="DY38" s="62" t="s">
        <v>274</v>
      </c>
      <c r="DZ38" s="62" t="s">
        <v>274</v>
      </c>
      <c r="EA38" s="62" t="s">
        <v>274</v>
      </c>
      <c r="EB38" s="65"/>
      <c r="EC38" s="62"/>
      <c r="ED38" s="56"/>
      <c r="EE38" s="56"/>
      <c r="EF38" s="56"/>
      <c r="EG38" s="56"/>
      <c r="EH38" s="58"/>
      <c r="EI38" s="86"/>
      <c r="EJ38" s="86"/>
    </row>
    <row r="39" spans="1:140" ht="75" customHeight="1" outlineLevel="1" x14ac:dyDescent="0.25">
      <c r="A39" s="91"/>
      <c r="B39" s="127" t="s">
        <v>684</v>
      </c>
      <c r="C39" s="56" t="s">
        <v>907</v>
      </c>
      <c r="D39" s="56" t="s">
        <v>708</v>
      </c>
      <c r="E39" s="56"/>
      <c r="F39" s="57"/>
      <c r="G39" s="57"/>
      <c r="H39" s="58"/>
      <c r="I39" s="57" t="s">
        <v>206</v>
      </c>
      <c r="J39" s="57" t="s">
        <v>206</v>
      </c>
      <c r="K39" s="57" t="s">
        <v>196</v>
      </c>
      <c r="L39" s="57"/>
      <c r="M39" s="57" t="s">
        <v>267</v>
      </c>
      <c r="N39" s="57" t="s">
        <v>267</v>
      </c>
      <c r="O39" s="57" t="s">
        <v>669</v>
      </c>
      <c r="P39" s="57"/>
      <c r="Q39" s="57" t="s">
        <v>269</v>
      </c>
      <c r="R39" s="57" t="s">
        <v>269</v>
      </c>
      <c r="S39" s="57" t="s">
        <v>268</v>
      </c>
      <c r="T39" s="57" t="s">
        <v>269</v>
      </c>
      <c r="U39" s="57" t="s">
        <v>269</v>
      </c>
      <c r="V39" s="57" t="s">
        <v>271</v>
      </c>
      <c r="W39" s="57" t="s">
        <v>271</v>
      </c>
      <c r="X39" s="58"/>
      <c r="Y39" s="59" t="s">
        <v>272</v>
      </c>
      <c r="Z39" s="59" t="s">
        <v>269</v>
      </c>
      <c r="AA39" s="57" t="s">
        <v>271</v>
      </c>
      <c r="AB39" s="59" t="s">
        <v>272</v>
      </c>
      <c r="AC39" s="59"/>
      <c r="AD39" s="59" t="s">
        <v>274</v>
      </c>
      <c r="AE39" s="57" t="s">
        <v>206</v>
      </c>
      <c r="AF39" s="58"/>
      <c r="AG39" s="57" t="s">
        <v>267</v>
      </c>
      <c r="AH39" s="57"/>
      <c r="AI39" s="57" t="s">
        <v>267</v>
      </c>
      <c r="AJ39" s="57" t="s">
        <v>267</v>
      </c>
      <c r="AK39" s="57"/>
      <c r="AL39" s="57" t="s">
        <v>267</v>
      </c>
      <c r="AM39" s="57" t="s">
        <v>267</v>
      </c>
      <c r="AN39" s="57" t="s">
        <v>267</v>
      </c>
      <c r="AO39" s="57" t="s">
        <v>267</v>
      </c>
      <c r="AP39" s="57" t="s">
        <v>267</v>
      </c>
      <c r="AQ39" s="57"/>
      <c r="AR39" s="57"/>
      <c r="AS39" s="57"/>
      <c r="AT39" s="57" t="s">
        <v>267</v>
      </c>
      <c r="AU39" s="57" t="s">
        <v>267</v>
      </c>
      <c r="AV39" s="57"/>
      <c r="AW39" s="57"/>
      <c r="AX39" s="57"/>
      <c r="AY39" s="57"/>
      <c r="AZ39" s="57"/>
      <c r="BA39" s="57"/>
      <c r="BB39" s="57" t="s">
        <v>267</v>
      </c>
      <c r="BC39" s="57"/>
      <c r="BD39" s="57"/>
      <c r="BE39" s="57"/>
      <c r="BF39" s="57"/>
      <c r="BG39" s="57"/>
      <c r="BH39" s="57"/>
      <c r="BI39" s="57" t="s">
        <v>267</v>
      </c>
      <c r="BJ39" s="57"/>
      <c r="BK39" s="57"/>
      <c r="BL39" s="57"/>
      <c r="BM39" s="57"/>
      <c r="BN39" s="57"/>
      <c r="BO39" s="57" t="s">
        <v>267</v>
      </c>
      <c r="BP39" s="57"/>
      <c r="BQ39" s="57"/>
      <c r="BR39" s="57"/>
      <c r="BS39" s="57"/>
      <c r="BT39" s="57"/>
      <c r="BU39" s="57"/>
      <c r="BV39" s="57" t="s">
        <v>267</v>
      </c>
      <c r="BW39" s="57"/>
      <c r="BX39" s="57"/>
      <c r="BY39" s="57"/>
      <c r="BZ39" s="57" t="s">
        <v>267</v>
      </c>
      <c r="CA39" s="57"/>
      <c r="CB39" s="57"/>
      <c r="CC39" s="57"/>
      <c r="CD39" s="57"/>
      <c r="CE39" s="57"/>
      <c r="CF39" s="57"/>
      <c r="CG39" s="57"/>
      <c r="CH39" s="57"/>
      <c r="CI39" s="57"/>
      <c r="CJ39" s="57"/>
      <c r="CK39" s="57"/>
      <c r="CL39" s="57"/>
      <c r="CM39" s="57"/>
      <c r="CN39" s="57" t="s">
        <v>267</v>
      </c>
      <c r="CO39" s="57"/>
      <c r="CP39" s="57"/>
      <c r="CQ39" s="57"/>
      <c r="CR39" s="57"/>
      <c r="CS39" s="57"/>
      <c r="CT39" s="57"/>
      <c r="CU39" s="57" t="s">
        <v>267</v>
      </c>
      <c r="CV39" s="57"/>
      <c r="CW39" s="57"/>
      <c r="CX39" s="57"/>
      <c r="CY39" s="57" t="s">
        <v>267</v>
      </c>
      <c r="CZ39" s="57"/>
      <c r="DA39" s="57"/>
      <c r="DB39" s="57"/>
      <c r="DC39" s="57"/>
      <c r="DD39" s="57"/>
      <c r="DE39" s="57"/>
      <c r="DF39" s="57"/>
      <c r="DG39" s="57"/>
      <c r="DH39" s="57"/>
      <c r="DI39" s="57"/>
      <c r="DJ39" s="57"/>
      <c r="DK39" s="57"/>
      <c r="DL39" s="57"/>
      <c r="DM39" s="57"/>
      <c r="DN39" s="57" t="s">
        <v>267</v>
      </c>
      <c r="DO39" s="57"/>
      <c r="DP39" s="57" t="s">
        <v>220</v>
      </c>
      <c r="DQ39" s="57"/>
      <c r="DR39" s="57"/>
      <c r="DS39" s="57"/>
      <c r="DT39" s="57"/>
      <c r="DU39" s="57"/>
      <c r="DV39" s="57"/>
      <c r="DW39" s="57" t="s">
        <v>274</v>
      </c>
      <c r="DX39" s="57" t="s">
        <v>274</v>
      </c>
      <c r="DY39" s="57" t="s">
        <v>274</v>
      </c>
      <c r="DZ39" s="57" t="s">
        <v>275</v>
      </c>
      <c r="EA39" s="57" t="s">
        <v>274</v>
      </c>
      <c r="EB39" s="56"/>
      <c r="EC39" s="57"/>
      <c r="ED39" s="56"/>
      <c r="EE39" s="56"/>
      <c r="EF39" s="56"/>
      <c r="EG39" s="56"/>
      <c r="EH39" s="58"/>
      <c r="EI39" s="86"/>
      <c r="EJ39" s="86"/>
    </row>
    <row r="40" spans="1:140" ht="75" customHeight="1" outlineLevel="1" x14ac:dyDescent="0.25">
      <c r="A40" s="91"/>
      <c r="B40" s="127" t="s">
        <v>684</v>
      </c>
      <c r="C40" s="56" t="s">
        <v>908</v>
      </c>
      <c r="D40" s="56" t="s">
        <v>708</v>
      </c>
      <c r="E40" s="56"/>
      <c r="F40" s="57"/>
      <c r="G40" s="57"/>
      <c r="H40" s="58"/>
      <c r="I40" s="57" t="s">
        <v>206</v>
      </c>
      <c r="J40" s="57" t="s">
        <v>206</v>
      </c>
      <c r="K40" s="57" t="s">
        <v>196</v>
      </c>
      <c r="L40" s="57"/>
      <c r="M40" s="57" t="s">
        <v>267</v>
      </c>
      <c r="N40" s="57" t="s">
        <v>267</v>
      </c>
      <c r="O40" s="57" t="s">
        <v>669</v>
      </c>
      <c r="P40" s="57"/>
      <c r="Q40" s="57" t="s">
        <v>269</v>
      </c>
      <c r="R40" s="57" t="s">
        <v>269</v>
      </c>
      <c r="S40" s="57" t="s">
        <v>268</v>
      </c>
      <c r="T40" s="57" t="s">
        <v>269</v>
      </c>
      <c r="U40" s="57" t="s">
        <v>269</v>
      </c>
      <c r="V40" s="57" t="s">
        <v>271</v>
      </c>
      <c r="W40" s="57" t="s">
        <v>271</v>
      </c>
      <c r="X40" s="58"/>
      <c r="Y40" s="59" t="s">
        <v>272</v>
      </c>
      <c r="Z40" s="59" t="s">
        <v>269</v>
      </c>
      <c r="AA40" s="57" t="s">
        <v>271</v>
      </c>
      <c r="AB40" s="59" t="s">
        <v>272</v>
      </c>
      <c r="AC40" s="59"/>
      <c r="AD40" s="59" t="s">
        <v>274</v>
      </c>
      <c r="AE40" s="57" t="s">
        <v>206</v>
      </c>
      <c r="AF40" s="58"/>
      <c r="AG40" s="57" t="s">
        <v>267</v>
      </c>
      <c r="AH40" s="57"/>
      <c r="AI40" s="57" t="s">
        <v>267</v>
      </c>
      <c r="AJ40" s="57" t="s">
        <v>267</v>
      </c>
      <c r="AK40" s="57"/>
      <c r="AL40" s="57" t="s">
        <v>267</v>
      </c>
      <c r="AM40" s="57" t="s">
        <v>267</v>
      </c>
      <c r="AN40" s="57" t="s">
        <v>267</v>
      </c>
      <c r="AO40" s="57" t="s">
        <v>267</v>
      </c>
      <c r="AP40" s="57" t="s">
        <v>267</v>
      </c>
      <c r="AQ40" s="57"/>
      <c r="AR40" s="57"/>
      <c r="AS40" s="57"/>
      <c r="AT40" s="57" t="s">
        <v>267</v>
      </c>
      <c r="AU40" s="57" t="s">
        <v>267</v>
      </c>
      <c r="AV40" s="57"/>
      <c r="AW40" s="57"/>
      <c r="AX40" s="57"/>
      <c r="AY40" s="57"/>
      <c r="AZ40" s="57"/>
      <c r="BA40" s="57"/>
      <c r="BB40" s="57" t="s">
        <v>267</v>
      </c>
      <c r="BC40" s="57"/>
      <c r="BD40" s="57"/>
      <c r="BE40" s="57"/>
      <c r="BF40" s="57"/>
      <c r="BG40" s="57"/>
      <c r="BH40" s="57"/>
      <c r="BI40" s="57" t="s">
        <v>267</v>
      </c>
      <c r="BJ40" s="57"/>
      <c r="BK40" s="57"/>
      <c r="BL40" s="57"/>
      <c r="BM40" s="57"/>
      <c r="BN40" s="57"/>
      <c r="BO40" s="57" t="s">
        <v>267</v>
      </c>
      <c r="BP40" s="57"/>
      <c r="BQ40" s="57"/>
      <c r="BR40" s="57"/>
      <c r="BS40" s="57"/>
      <c r="BT40" s="57"/>
      <c r="BU40" s="57"/>
      <c r="BV40" s="57" t="s">
        <v>267</v>
      </c>
      <c r="BW40" s="57"/>
      <c r="BX40" s="57"/>
      <c r="BY40" s="57"/>
      <c r="BZ40" s="57" t="s">
        <v>267</v>
      </c>
      <c r="CA40" s="57"/>
      <c r="CB40" s="57"/>
      <c r="CC40" s="57"/>
      <c r="CD40" s="57"/>
      <c r="CE40" s="57"/>
      <c r="CF40" s="57"/>
      <c r="CG40" s="57"/>
      <c r="CH40" s="57"/>
      <c r="CI40" s="57"/>
      <c r="CJ40" s="57"/>
      <c r="CK40" s="57"/>
      <c r="CL40" s="57"/>
      <c r="CM40" s="57"/>
      <c r="CN40" s="57" t="s">
        <v>267</v>
      </c>
      <c r="CO40" s="57"/>
      <c r="CP40" s="57"/>
      <c r="CQ40" s="57"/>
      <c r="CR40" s="57"/>
      <c r="CS40" s="57"/>
      <c r="CT40" s="57"/>
      <c r="CU40" s="57" t="s">
        <v>267</v>
      </c>
      <c r="CV40" s="57"/>
      <c r="CW40" s="57"/>
      <c r="CX40" s="57"/>
      <c r="CY40" s="57" t="s">
        <v>267</v>
      </c>
      <c r="CZ40" s="57"/>
      <c r="DA40" s="57"/>
      <c r="DB40" s="57"/>
      <c r="DC40" s="57"/>
      <c r="DD40" s="57"/>
      <c r="DE40" s="57"/>
      <c r="DF40" s="57"/>
      <c r="DG40" s="57"/>
      <c r="DH40" s="57"/>
      <c r="DI40" s="57"/>
      <c r="DJ40" s="57"/>
      <c r="DK40" s="57"/>
      <c r="DL40" s="57"/>
      <c r="DM40" s="57"/>
      <c r="DN40" s="57" t="s">
        <v>267</v>
      </c>
      <c r="DO40" s="57"/>
      <c r="DP40" s="57" t="s">
        <v>220</v>
      </c>
      <c r="DQ40" s="57"/>
      <c r="DR40" s="57"/>
      <c r="DS40" s="57"/>
      <c r="DT40" s="57"/>
      <c r="DU40" s="57"/>
      <c r="DV40" s="57"/>
      <c r="DW40" s="57" t="s">
        <v>274</v>
      </c>
      <c r="DX40" s="57" t="s">
        <v>274</v>
      </c>
      <c r="DY40" s="57" t="s">
        <v>274</v>
      </c>
      <c r="DZ40" s="57" t="s">
        <v>275</v>
      </c>
      <c r="EA40" s="57" t="s">
        <v>274</v>
      </c>
      <c r="EB40" s="56"/>
      <c r="EC40" s="57"/>
      <c r="ED40" s="56"/>
      <c r="EE40" s="56"/>
      <c r="EF40" s="56"/>
      <c r="EG40" s="56"/>
      <c r="EH40" s="58"/>
      <c r="EI40" s="86"/>
      <c r="EJ40" s="86"/>
    </row>
    <row r="41" spans="1:140" ht="53.25" customHeight="1" outlineLevel="1" x14ac:dyDescent="0.2">
      <c r="A41" s="91"/>
      <c r="B41" s="127" t="s">
        <v>684</v>
      </c>
      <c r="C41" s="56" t="s">
        <v>909</v>
      </c>
      <c r="D41" s="56" t="s">
        <v>180</v>
      </c>
      <c r="E41" s="89" t="s">
        <v>302</v>
      </c>
      <c r="F41" s="57" t="s">
        <v>279</v>
      </c>
      <c r="G41" s="57" t="s">
        <v>623</v>
      </c>
      <c r="H41" s="58"/>
      <c r="I41" s="57" t="s">
        <v>203</v>
      </c>
      <c r="J41" s="57" t="s">
        <v>203</v>
      </c>
      <c r="K41" s="57" t="s">
        <v>198</v>
      </c>
      <c r="L41" s="57" t="s">
        <v>295</v>
      </c>
      <c r="M41" s="57"/>
      <c r="N41" s="57" t="s">
        <v>267</v>
      </c>
      <c r="O41" s="57"/>
      <c r="P41" s="57"/>
      <c r="Q41" s="57" t="s">
        <v>268</v>
      </c>
      <c r="R41" s="57" t="s">
        <v>268</v>
      </c>
      <c r="S41" s="57" t="s">
        <v>269</v>
      </c>
      <c r="T41" s="57" t="s">
        <v>269</v>
      </c>
      <c r="U41" s="57" t="s">
        <v>268</v>
      </c>
      <c r="V41" s="57" t="s">
        <v>268</v>
      </c>
      <c r="W41" s="57" t="s">
        <v>268</v>
      </c>
      <c r="X41" s="58" t="s">
        <v>280</v>
      </c>
      <c r="Y41" s="59" t="s">
        <v>268</v>
      </c>
      <c r="Z41" s="59" t="s">
        <v>271</v>
      </c>
      <c r="AA41" s="57" t="s">
        <v>269</v>
      </c>
      <c r="AB41" s="59" t="s">
        <v>271</v>
      </c>
      <c r="AC41" s="59"/>
      <c r="AD41" s="59" t="s">
        <v>274</v>
      </c>
      <c r="AE41" s="57" t="s">
        <v>203</v>
      </c>
      <c r="AF41" s="58" t="s">
        <v>299</v>
      </c>
      <c r="AG41" s="57" t="s">
        <v>267</v>
      </c>
      <c r="AH41" s="57"/>
      <c r="AI41" s="57" t="s">
        <v>267</v>
      </c>
      <c r="AJ41" s="57" t="s">
        <v>267</v>
      </c>
      <c r="AK41" s="57"/>
      <c r="AL41" s="57" t="s">
        <v>267</v>
      </c>
      <c r="AM41" s="57" t="s">
        <v>267</v>
      </c>
      <c r="AN41" s="57" t="s">
        <v>267</v>
      </c>
      <c r="AO41" s="57" t="s">
        <v>267</v>
      </c>
      <c r="AP41" s="57"/>
      <c r="AQ41" s="57"/>
      <c r="AR41" s="57"/>
      <c r="AS41" s="57"/>
      <c r="AT41" s="57" t="s">
        <v>267</v>
      </c>
      <c r="AU41" s="57" t="s">
        <v>267</v>
      </c>
      <c r="AV41" s="57"/>
      <c r="AW41" s="57"/>
      <c r="AX41" s="57"/>
      <c r="AY41" s="57"/>
      <c r="AZ41" s="57"/>
      <c r="BA41" s="57"/>
      <c r="BB41" s="57" t="s">
        <v>267</v>
      </c>
      <c r="BC41" s="57" t="s">
        <v>83</v>
      </c>
      <c r="BD41" s="57" t="s">
        <v>83</v>
      </c>
      <c r="BE41" s="57"/>
      <c r="BF41" s="57"/>
      <c r="BG41" s="57"/>
      <c r="BH41" s="57"/>
      <c r="BI41" s="57"/>
      <c r="BJ41" s="57"/>
      <c r="BK41" s="57" t="s">
        <v>267</v>
      </c>
      <c r="BL41" s="57"/>
      <c r="BM41" s="57"/>
      <c r="BN41" s="57"/>
      <c r="BO41" s="57" t="s">
        <v>267</v>
      </c>
      <c r="BP41" s="57"/>
      <c r="BQ41" s="57"/>
      <c r="BR41" s="57"/>
      <c r="BS41" s="57"/>
      <c r="BT41" s="57"/>
      <c r="BU41" s="57"/>
      <c r="BV41" s="57"/>
      <c r="BW41" s="57"/>
      <c r="BX41" s="57"/>
      <c r="BY41" s="57"/>
      <c r="BZ41" s="57" t="s">
        <v>267</v>
      </c>
      <c r="CA41" s="57"/>
      <c r="CB41" s="57"/>
      <c r="CC41" s="57"/>
      <c r="CD41" s="57" t="s">
        <v>267</v>
      </c>
      <c r="CE41" s="57"/>
      <c r="CF41" s="57"/>
      <c r="CG41" s="57"/>
      <c r="CH41" s="57"/>
      <c r="CI41" s="57"/>
      <c r="CJ41" s="57" t="s">
        <v>267</v>
      </c>
      <c r="CK41" s="57"/>
      <c r="CL41" s="57"/>
      <c r="CM41" s="57"/>
      <c r="CN41" s="57" t="s">
        <v>267</v>
      </c>
      <c r="CO41" s="57"/>
      <c r="CP41" s="57"/>
      <c r="CQ41" s="57"/>
      <c r="CR41" s="57"/>
      <c r="CS41" s="57"/>
      <c r="CT41" s="57"/>
      <c r="CU41" s="57"/>
      <c r="CV41" s="57"/>
      <c r="CW41" s="57"/>
      <c r="CX41" s="57"/>
      <c r="CY41" s="57" t="s">
        <v>267</v>
      </c>
      <c r="CZ41" s="57"/>
      <c r="DA41" s="57"/>
      <c r="DB41" s="57"/>
      <c r="DC41" s="57" t="s">
        <v>267</v>
      </c>
      <c r="DD41" s="57"/>
      <c r="DE41" s="57"/>
      <c r="DF41" s="57"/>
      <c r="DG41" s="57"/>
      <c r="DH41" s="57"/>
      <c r="DI41" s="57"/>
      <c r="DJ41" s="57"/>
      <c r="DK41" s="57"/>
      <c r="DL41" s="57"/>
      <c r="DM41" s="57"/>
      <c r="DN41" s="57" t="s">
        <v>267</v>
      </c>
      <c r="DO41" s="57"/>
      <c r="DP41" s="57" t="s">
        <v>121</v>
      </c>
      <c r="DQ41" s="62"/>
      <c r="DR41" s="62"/>
      <c r="DS41" s="62"/>
      <c r="DT41" s="62"/>
      <c r="DU41" s="62"/>
      <c r="DV41" s="62"/>
      <c r="DW41" s="62" t="s">
        <v>274</v>
      </c>
      <c r="DX41" s="62" t="s">
        <v>274</v>
      </c>
      <c r="DY41" s="62" t="s">
        <v>274</v>
      </c>
      <c r="DZ41" s="62" t="s">
        <v>275</v>
      </c>
      <c r="EA41" s="57" t="s">
        <v>274</v>
      </c>
      <c r="EB41" s="56" t="s">
        <v>303</v>
      </c>
      <c r="EC41" s="57" t="s">
        <v>275</v>
      </c>
      <c r="ED41" s="56" t="s">
        <v>304</v>
      </c>
      <c r="EE41" s="56"/>
      <c r="EF41" s="56"/>
      <c r="EG41" s="56" t="s">
        <v>305</v>
      </c>
      <c r="EH41" s="58"/>
      <c r="EI41" s="86"/>
      <c r="EJ41" s="86"/>
    </row>
    <row r="42" spans="1:140" ht="51" customHeight="1" outlineLevel="1" x14ac:dyDescent="0.25">
      <c r="A42" s="91"/>
      <c r="B42" s="127" t="s">
        <v>684</v>
      </c>
      <c r="C42" s="56" t="s">
        <v>909</v>
      </c>
      <c r="D42" s="56" t="s">
        <v>183</v>
      </c>
      <c r="E42" s="56" t="s">
        <v>327</v>
      </c>
      <c r="F42" s="57" t="s">
        <v>265</v>
      </c>
      <c r="G42" s="57" t="s">
        <v>623</v>
      </c>
      <c r="H42" s="58"/>
      <c r="I42" s="57" t="s">
        <v>196</v>
      </c>
      <c r="J42" s="57" t="s">
        <v>196</v>
      </c>
      <c r="K42" s="57" t="s">
        <v>448</v>
      </c>
      <c r="L42" s="62" t="s">
        <v>328</v>
      </c>
      <c r="M42" s="62"/>
      <c r="N42" s="62" t="s">
        <v>267</v>
      </c>
      <c r="O42" s="62"/>
      <c r="P42" s="62"/>
      <c r="Q42" s="62" t="s">
        <v>268</v>
      </c>
      <c r="R42" s="62" t="s">
        <v>268</v>
      </c>
      <c r="S42" s="62" t="s">
        <v>268</v>
      </c>
      <c r="T42" s="62" t="s">
        <v>269</v>
      </c>
      <c r="U42" s="62" t="s">
        <v>268</v>
      </c>
      <c r="V42" s="62" t="s">
        <v>268</v>
      </c>
      <c r="W42" s="62" t="s">
        <v>268</v>
      </c>
      <c r="X42" s="63" t="s">
        <v>270</v>
      </c>
      <c r="Y42" s="64" t="s">
        <v>268</v>
      </c>
      <c r="Z42" s="64" t="s">
        <v>268</v>
      </c>
      <c r="AA42" s="62" t="s">
        <v>268</v>
      </c>
      <c r="AB42" s="59" t="s">
        <v>269</v>
      </c>
      <c r="AC42" s="59"/>
      <c r="AD42" s="59" t="s">
        <v>274</v>
      </c>
      <c r="AE42" s="57" t="s">
        <v>196</v>
      </c>
      <c r="AF42" s="63" t="s">
        <v>329</v>
      </c>
      <c r="AG42" s="62" t="s">
        <v>267</v>
      </c>
      <c r="AH42" s="62" t="s">
        <v>267</v>
      </c>
      <c r="AI42" s="62" t="s">
        <v>267</v>
      </c>
      <c r="AJ42" s="62" t="s">
        <v>267</v>
      </c>
      <c r="AK42" s="62"/>
      <c r="AL42" s="62" t="s">
        <v>267</v>
      </c>
      <c r="AM42" s="62"/>
      <c r="AN42" s="62" t="s">
        <v>267</v>
      </c>
      <c r="AO42" s="62" t="s">
        <v>267</v>
      </c>
      <c r="AP42" s="62"/>
      <c r="AQ42" s="62"/>
      <c r="AR42" s="62"/>
      <c r="AS42" s="62"/>
      <c r="AT42" s="62"/>
      <c r="AU42" s="62"/>
      <c r="AV42" s="62"/>
      <c r="AW42" s="62"/>
      <c r="AX42" s="62"/>
      <c r="AY42" s="62"/>
      <c r="AZ42" s="62"/>
      <c r="BA42" s="62"/>
      <c r="BB42" s="62"/>
      <c r="BC42" s="62"/>
      <c r="BD42" s="62"/>
      <c r="BE42" s="62"/>
      <c r="BF42" s="62"/>
      <c r="BG42" s="62"/>
      <c r="BH42" s="62"/>
      <c r="BI42" s="62"/>
      <c r="BJ42" s="62"/>
      <c r="BK42" s="62"/>
      <c r="BL42" s="62"/>
      <c r="BM42" s="62"/>
      <c r="BN42" s="62"/>
      <c r="BO42" s="62" t="s">
        <v>267</v>
      </c>
      <c r="BP42" s="62"/>
      <c r="BQ42" s="62"/>
      <c r="BR42" s="62"/>
      <c r="BS42" s="62"/>
      <c r="BT42" s="62"/>
      <c r="BU42" s="62"/>
      <c r="BV42" s="62"/>
      <c r="BW42" s="62"/>
      <c r="BX42" s="62"/>
      <c r="BY42" s="62"/>
      <c r="BZ42" s="62" t="s">
        <v>267</v>
      </c>
      <c r="CA42" s="62"/>
      <c r="CB42" s="62"/>
      <c r="CC42" s="62"/>
      <c r="CD42" s="62"/>
      <c r="CE42" s="62"/>
      <c r="CF42" s="62"/>
      <c r="CG42" s="62"/>
      <c r="CH42" s="62"/>
      <c r="CI42" s="62"/>
      <c r="CJ42" s="62"/>
      <c r="CK42" s="62"/>
      <c r="CL42" s="62"/>
      <c r="CM42" s="62"/>
      <c r="CN42" s="62" t="s">
        <v>267</v>
      </c>
      <c r="CO42" s="62"/>
      <c r="CP42" s="62"/>
      <c r="CQ42" s="62"/>
      <c r="CR42" s="62"/>
      <c r="CS42" s="62"/>
      <c r="CT42" s="62"/>
      <c r="CU42" s="62"/>
      <c r="CV42" s="62"/>
      <c r="CW42" s="62"/>
      <c r="CX42" s="62"/>
      <c r="CY42" s="62" t="s">
        <v>267</v>
      </c>
      <c r="CZ42" s="62"/>
      <c r="DA42" s="62"/>
      <c r="DB42" s="62"/>
      <c r="DC42" s="62"/>
      <c r="DD42" s="62"/>
      <c r="DE42" s="62"/>
      <c r="DF42" s="62"/>
      <c r="DG42" s="62"/>
      <c r="DH42" s="62"/>
      <c r="DI42" s="62"/>
      <c r="DJ42" s="62"/>
      <c r="DK42" s="62"/>
      <c r="DL42" s="62"/>
      <c r="DM42" s="62"/>
      <c r="DN42" s="62" t="s">
        <v>267</v>
      </c>
      <c r="DO42" s="62"/>
      <c r="DP42" s="62" t="s">
        <v>121</v>
      </c>
      <c r="DQ42" s="62"/>
      <c r="DR42" s="62"/>
      <c r="DS42" s="62"/>
      <c r="DT42" s="62"/>
      <c r="DU42" s="62"/>
      <c r="DV42" s="62"/>
      <c r="DW42" s="62" t="s">
        <v>274</v>
      </c>
      <c r="DX42" s="62" t="s">
        <v>274</v>
      </c>
      <c r="DY42" s="62" t="s">
        <v>274</v>
      </c>
      <c r="DZ42" s="62" t="s">
        <v>275</v>
      </c>
      <c r="EA42" s="62" t="s">
        <v>274</v>
      </c>
      <c r="EB42" s="65" t="s">
        <v>678</v>
      </c>
      <c r="EC42" s="62" t="s">
        <v>427</v>
      </c>
      <c r="ED42" s="56" t="s">
        <v>330</v>
      </c>
      <c r="EE42" s="56"/>
      <c r="EF42" s="56"/>
      <c r="EG42" s="56"/>
      <c r="EH42" s="58"/>
      <c r="EI42" s="86"/>
      <c r="EJ42" s="86"/>
    </row>
    <row r="43" spans="1:140" ht="63.75" customHeight="1" outlineLevel="1" x14ac:dyDescent="0.25">
      <c r="A43" s="91"/>
      <c r="B43" s="127" t="s">
        <v>684</v>
      </c>
      <c r="C43" s="56" t="s">
        <v>909</v>
      </c>
      <c r="D43" s="56" t="s">
        <v>451</v>
      </c>
      <c r="E43" s="56" t="s">
        <v>410</v>
      </c>
      <c r="F43" s="57" t="s">
        <v>279</v>
      </c>
      <c r="G43" s="57" t="s">
        <v>623</v>
      </c>
      <c r="H43" s="58"/>
      <c r="I43" s="57" t="s">
        <v>448</v>
      </c>
      <c r="J43" s="57" t="s">
        <v>448</v>
      </c>
      <c r="K43" s="57" t="s">
        <v>448</v>
      </c>
      <c r="L43" s="57" t="s">
        <v>450</v>
      </c>
      <c r="M43" s="57" t="s">
        <v>267</v>
      </c>
      <c r="N43" s="57" t="s">
        <v>267</v>
      </c>
      <c r="O43" s="57"/>
      <c r="P43" s="57"/>
      <c r="Q43" s="57" t="s">
        <v>268</v>
      </c>
      <c r="R43" s="57" t="s">
        <v>268</v>
      </c>
      <c r="S43" s="57" t="s">
        <v>268</v>
      </c>
      <c r="T43" s="57" t="s">
        <v>272</v>
      </c>
      <c r="U43" s="57" t="s">
        <v>268</v>
      </c>
      <c r="V43" s="57" t="s">
        <v>268</v>
      </c>
      <c r="W43" s="57" t="s">
        <v>269</v>
      </c>
      <c r="X43" s="58" t="s">
        <v>280</v>
      </c>
      <c r="Y43" s="59" t="s">
        <v>271</v>
      </c>
      <c r="Z43" s="59" t="s">
        <v>272</v>
      </c>
      <c r="AA43" s="57" t="s">
        <v>269</v>
      </c>
      <c r="AB43" s="59" t="s">
        <v>269</v>
      </c>
      <c r="AC43" s="59"/>
      <c r="AD43" s="59" t="s">
        <v>275</v>
      </c>
      <c r="AE43" s="57"/>
      <c r="AF43" s="58" t="s">
        <v>83</v>
      </c>
      <c r="AG43" s="57" t="s">
        <v>267</v>
      </c>
      <c r="AH43" s="57"/>
      <c r="AI43" s="57" t="s">
        <v>267</v>
      </c>
      <c r="AJ43" s="57" t="s">
        <v>267</v>
      </c>
      <c r="AK43" s="57"/>
      <c r="AL43" s="57" t="s">
        <v>267</v>
      </c>
      <c r="AM43" s="57" t="s">
        <v>267</v>
      </c>
      <c r="AN43" s="57" t="s">
        <v>267</v>
      </c>
      <c r="AO43" s="57" t="s">
        <v>267</v>
      </c>
      <c r="AP43" s="57"/>
      <c r="AQ43" s="57"/>
      <c r="AR43" s="57"/>
      <c r="AS43" s="57"/>
      <c r="AT43" s="57"/>
      <c r="AU43" s="57"/>
      <c r="AV43" s="57"/>
      <c r="AW43" s="57"/>
      <c r="AX43" s="57"/>
      <c r="AY43" s="57"/>
      <c r="AZ43" s="57"/>
      <c r="BA43" s="57"/>
      <c r="BB43" s="57" t="s">
        <v>267</v>
      </c>
      <c r="BC43" s="57"/>
      <c r="BD43" s="57"/>
      <c r="BE43" s="57"/>
      <c r="BF43" s="57"/>
      <c r="BG43" s="57"/>
      <c r="BH43" s="57"/>
      <c r="BI43" s="57"/>
      <c r="BJ43" s="57"/>
      <c r="BK43" s="57"/>
      <c r="BL43" s="57"/>
      <c r="BM43" s="57"/>
      <c r="BN43" s="57"/>
      <c r="BO43" s="57" t="s">
        <v>267</v>
      </c>
      <c r="BP43" s="57"/>
      <c r="BQ43" s="57"/>
      <c r="BR43" s="57"/>
      <c r="BS43" s="57"/>
      <c r="BT43" s="57"/>
      <c r="BU43" s="57"/>
      <c r="BV43" s="57"/>
      <c r="BW43" s="57"/>
      <c r="BX43" s="57"/>
      <c r="BY43" s="57"/>
      <c r="BZ43" s="57" t="s">
        <v>267</v>
      </c>
      <c r="CA43" s="57"/>
      <c r="CB43" s="57"/>
      <c r="CC43" s="57"/>
      <c r="CD43" s="57"/>
      <c r="CE43" s="57"/>
      <c r="CF43" s="57"/>
      <c r="CG43" s="57"/>
      <c r="CH43" s="57"/>
      <c r="CI43" s="57"/>
      <c r="CJ43" s="57"/>
      <c r="CK43" s="57"/>
      <c r="CL43" s="57"/>
      <c r="CM43" s="57"/>
      <c r="CN43" s="57" t="s">
        <v>267</v>
      </c>
      <c r="CO43" s="57"/>
      <c r="CP43" s="57"/>
      <c r="CQ43" s="57"/>
      <c r="CR43" s="57"/>
      <c r="CS43" s="57"/>
      <c r="CT43" s="57"/>
      <c r="CU43" s="57"/>
      <c r="CV43" s="57"/>
      <c r="CW43" s="57"/>
      <c r="CX43" s="57"/>
      <c r="CY43" s="57" t="s">
        <v>267</v>
      </c>
      <c r="CZ43" s="57"/>
      <c r="DA43" s="57"/>
      <c r="DB43" s="57"/>
      <c r="DC43" s="57"/>
      <c r="DD43" s="57"/>
      <c r="DE43" s="57"/>
      <c r="DF43" s="57"/>
      <c r="DG43" s="57"/>
      <c r="DH43" s="57"/>
      <c r="DI43" s="57"/>
      <c r="DJ43" s="57"/>
      <c r="DK43" s="57"/>
      <c r="DL43" s="57"/>
      <c r="DM43" s="57"/>
      <c r="DN43" s="57" t="s">
        <v>267</v>
      </c>
      <c r="DO43" s="57"/>
      <c r="DP43" s="57" t="s">
        <v>121</v>
      </c>
      <c r="DQ43" s="62"/>
      <c r="DR43" s="62"/>
      <c r="DS43" s="62"/>
      <c r="DT43" s="62"/>
      <c r="DU43" s="62"/>
      <c r="DV43" s="62"/>
      <c r="DW43" s="62" t="s">
        <v>275</v>
      </c>
      <c r="DX43" s="62" t="s">
        <v>274</v>
      </c>
      <c r="DY43" s="62" t="s">
        <v>275</v>
      </c>
      <c r="DZ43" s="62" t="s">
        <v>275</v>
      </c>
      <c r="EA43" s="57" t="s">
        <v>275</v>
      </c>
      <c r="EB43" s="56" t="s">
        <v>411</v>
      </c>
      <c r="EC43" s="57" t="s">
        <v>275</v>
      </c>
      <c r="ED43" s="56"/>
      <c r="EE43" s="56"/>
      <c r="EF43" s="56"/>
      <c r="EG43" s="56"/>
      <c r="EH43" s="58"/>
      <c r="EI43" s="86"/>
      <c r="EJ43" s="86"/>
    </row>
    <row r="44" spans="1:140" ht="26.4" outlineLevel="1" x14ac:dyDescent="0.25">
      <c r="A44" s="91"/>
      <c r="B44" s="128" t="s">
        <v>667</v>
      </c>
      <c r="C44" s="56" t="s">
        <v>687</v>
      </c>
      <c r="D44" s="56" t="s">
        <v>189</v>
      </c>
      <c r="E44" s="56" t="s">
        <v>401</v>
      </c>
      <c r="F44" s="57" t="s">
        <v>265</v>
      </c>
      <c r="G44" s="57" t="s">
        <v>623</v>
      </c>
      <c r="H44" s="58"/>
      <c r="I44" s="57" t="s">
        <v>205</v>
      </c>
      <c r="J44" s="57" t="s">
        <v>205</v>
      </c>
      <c r="K44" s="57" t="s">
        <v>202</v>
      </c>
      <c r="L44" s="62" t="s">
        <v>402</v>
      </c>
      <c r="M44" s="62" t="s">
        <v>267</v>
      </c>
      <c r="N44" s="62" t="s">
        <v>267</v>
      </c>
      <c r="O44" s="62" t="s">
        <v>669</v>
      </c>
      <c r="P44" s="62" t="s">
        <v>669</v>
      </c>
      <c r="Q44" s="62" t="s">
        <v>272</v>
      </c>
      <c r="R44" s="62" t="s">
        <v>271</v>
      </c>
      <c r="S44" s="62" t="s">
        <v>272</v>
      </c>
      <c r="T44" s="62" t="s">
        <v>268</v>
      </c>
      <c r="U44" s="62" t="s">
        <v>269</v>
      </c>
      <c r="V44" s="62" t="s">
        <v>269</v>
      </c>
      <c r="W44" s="62" t="s">
        <v>269</v>
      </c>
      <c r="X44" s="63" t="s">
        <v>403</v>
      </c>
      <c r="Y44" s="64" t="s">
        <v>272</v>
      </c>
      <c r="Z44" s="64" t="s">
        <v>272</v>
      </c>
      <c r="AA44" s="62" t="s">
        <v>272</v>
      </c>
      <c r="AB44" s="59" t="s">
        <v>271</v>
      </c>
      <c r="AC44" s="59"/>
      <c r="AD44" s="59" t="s">
        <v>274</v>
      </c>
      <c r="AE44" s="57" t="s">
        <v>205</v>
      </c>
      <c r="AF44" s="63" t="s">
        <v>404</v>
      </c>
      <c r="AG44" s="62" t="s">
        <v>267</v>
      </c>
      <c r="AH44" s="62"/>
      <c r="AI44" s="62" t="s">
        <v>267</v>
      </c>
      <c r="AJ44" s="62" t="s">
        <v>267</v>
      </c>
      <c r="AK44" s="62"/>
      <c r="AL44" s="62" t="s">
        <v>267</v>
      </c>
      <c r="AM44" s="62" t="s">
        <v>267</v>
      </c>
      <c r="AN44" s="62"/>
      <c r="AO44" s="62" t="s">
        <v>267</v>
      </c>
      <c r="AP44" s="62"/>
      <c r="AQ44" s="62"/>
      <c r="AR44" s="62"/>
      <c r="AS44" s="62"/>
      <c r="AT44" s="62" t="s">
        <v>267</v>
      </c>
      <c r="AU44" s="62"/>
      <c r="AV44" s="62"/>
      <c r="AW44" s="62"/>
      <c r="AX44" s="62"/>
      <c r="AY44" s="62"/>
      <c r="AZ44" s="62"/>
      <c r="BA44" s="62"/>
      <c r="BB44" s="62" t="s">
        <v>267</v>
      </c>
      <c r="BC44" s="62"/>
      <c r="BD44" s="62"/>
      <c r="BE44" s="62"/>
      <c r="BF44" s="62" t="s">
        <v>267</v>
      </c>
      <c r="BG44" s="62"/>
      <c r="BH44" s="62"/>
      <c r="BI44" s="62"/>
      <c r="BJ44" s="62"/>
      <c r="BK44" s="62"/>
      <c r="BL44" s="62"/>
      <c r="BM44" s="62"/>
      <c r="BN44" s="62"/>
      <c r="BO44" s="62" t="s">
        <v>267</v>
      </c>
      <c r="BP44" s="62"/>
      <c r="BQ44" s="62"/>
      <c r="BR44" s="62"/>
      <c r="BS44" s="62"/>
      <c r="BT44" s="62"/>
      <c r="BU44" s="62"/>
      <c r="BV44" s="62"/>
      <c r="BW44" s="62"/>
      <c r="BX44" s="62"/>
      <c r="BY44" s="62"/>
      <c r="BZ44" s="62" t="s">
        <v>267</v>
      </c>
      <c r="CA44" s="62"/>
      <c r="CB44" s="62"/>
      <c r="CC44" s="62"/>
      <c r="CD44" s="62"/>
      <c r="CE44" s="62"/>
      <c r="CF44" s="62"/>
      <c r="CG44" s="62"/>
      <c r="CH44" s="62"/>
      <c r="CI44" s="62"/>
      <c r="CJ44" s="62"/>
      <c r="CK44" s="62"/>
      <c r="CL44" s="62"/>
      <c r="CM44" s="62"/>
      <c r="CN44" s="62" t="s">
        <v>267</v>
      </c>
      <c r="CO44" s="62"/>
      <c r="CP44" s="62"/>
      <c r="CQ44" s="62"/>
      <c r="CR44" s="62"/>
      <c r="CS44" s="62"/>
      <c r="CT44" s="62"/>
      <c r="CU44" s="62"/>
      <c r="CV44" s="62"/>
      <c r="CW44" s="62"/>
      <c r="CX44" s="62"/>
      <c r="CY44" s="62" t="s">
        <v>267</v>
      </c>
      <c r="CZ44" s="62"/>
      <c r="DA44" s="62"/>
      <c r="DB44" s="62"/>
      <c r="DC44" s="62"/>
      <c r="DD44" s="62"/>
      <c r="DE44" s="62"/>
      <c r="DF44" s="62"/>
      <c r="DG44" s="62"/>
      <c r="DH44" s="62"/>
      <c r="DI44" s="62"/>
      <c r="DJ44" s="62"/>
      <c r="DK44" s="62"/>
      <c r="DL44" s="62"/>
      <c r="DM44" s="62"/>
      <c r="DN44" s="62" t="s">
        <v>267</v>
      </c>
      <c r="DO44" s="62"/>
      <c r="DP44" s="62" t="s">
        <v>292</v>
      </c>
      <c r="DQ44" s="57"/>
      <c r="DR44" s="57"/>
      <c r="DS44" s="57"/>
      <c r="DT44" s="57"/>
      <c r="DU44" s="57"/>
      <c r="DV44" s="57"/>
      <c r="DW44" s="57" t="s">
        <v>275</v>
      </c>
      <c r="DX44" s="57" t="s">
        <v>274</v>
      </c>
      <c r="DY44" s="57" t="s">
        <v>275</v>
      </c>
      <c r="DZ44" s="57" t="s">
        <v>275</v>
      </c>
      <c r="EA44" s="62" t="s">
        <v>275</v>
      </c>
      <c r="EB44" s="65" t="s">
        <v>362</v>
      </c>
      <c r="EC44" s="62" t="s">
        <v>275</v>
      </c>
      <c r="ED44" s="56"/>
      <c r="EE44" s="56" t="s">
        <v>405</v>
      </c>
      <c r="EF44" s="56"/>
      <c r="EG44" s="56"/>
      <c r="EH44" s="58"/>
      <c r="EI44" s="86"/>
      <c r="EJ44" s="86"/>
    </row>
    <row r="45" spans="1:140" ht="26.4" outlineLevel="1" x14ac:dyDescent="0.25">
      <c r="A45" s="91"/>
      <c r="B45" s="128" t="s">
        <v>667</v>
      </c>
      <c r="C45" s="56" t="s">
        <v>687</v>
      </c>
      <c r="D45" s="56" t="s">
        <v>681</v>
      </c>
      <c r="E45" s="56" t="s">
        <v>682</v>
      </c>
      <c r="F45" s="57" t="s">
        <v>265</v>
      </c>
      <c r="G45" s="57" t="s">
        <v>623</v>
      </c>
      <c r="H45" s="58"/>
      <c r="I45" s="57" t="s">
        <v>205</v>
      </c>
      <c r="J45" s="57" t="s">
        <v>205</v>
      </c>
      <c r="K45" s="57" t="s">
        <v>202</v>
      </c>
      <c r="L45" s="62"/>
      <c r="M45" s="62" t="s">
        <v>267</v>
      </c>
      <c r="N45" s="62"/>
      <c r="O45" s="62"/>
      <c r="P45" s="62"/>
      <c r="Q45" s="62" t="s">
        <v>272</v>
      </c>
      <c r="R45" s="62" t="s">
        <v>271</v>
      </c>
      <c r="S45" s="62" t="s">
        <v>272</v>
      </c>
      <c r="T45" s="62" t="s">
        <v>271</v>
      </c>
      <c r="U45" s="62" t="s">
        <v>269</v>
      </c>
      <c r="V45" s="62" t="s">
        <v>269</v>
      </c>
      <c r="W45" s="62" t="s">
        <v>269</v>
      </c>
      <c r="X45" s="63" t="s">
        <v>403</v>
      </c>
      <c r="Y45" s="64" t="s">
        <v>272</v>
      </c>
      <c r="Z45" s="64" t="s">
        <v>272</v>
      </c>
      <c r="AA45" s="62" t="s">
        <v>272</v>
      </c>
      <c r="AB45" s="59" t="s">
        <v>271</v>
      </c>
      <c r="AC45" s="59"/>
      <c r="AD45" s="59" t="s">
        <v>274</v>
      </c>
      <c r="AE45" s="57" t="s">
        <v>205</v>
      </c>
      <c r="AF45" s="63"/>
      <c r="AG45" s="62" t="s">
        <v>267</v>
      </c>
      <c r="AH45" s="62"/>
      <c r="AI45" s="62" t="s">
        <v>267</v>
      </c>
      <c r="AJ45" s="62" t="s">
        <v>267</v>
      </c>
      <c r="AK45" s="62"/>
      <c r="AL45" s="62" t="s">
        <v>267</v>
      </c>
      <c r="AM45" s="62" t="s">
        <v>267</v>
      </c>
      <c r="AN45" s="62"/>
      <c r="AO45" s="62" t="s">
        <v>267</v>
      </c>
      <c r="AP45" s="62"/>
      <c r="AQ45" s="62"/>
      <c r="AR45" s="62"/>
      <c r="AS45" s="62"/>
      <c r="AT45" s="62" t="s">
        <v>267</v>
      </c>
      <c r="AU45" s="62"/>
      <c r="AV45" s="62"/>
      <c r="AW45" s="62"/>
      <c r="AX45" s="62"/>
      <c r="AY45" s="62"/>
      <c r="AZ45" s="62"/>
      <c r="BA45" s="62"/>
      <c r="BB45" s="62" t="s">
        <v>267</v>
      </c>
      <c r="BC45" s="62"/>
      <c r="BD45" s="62"/>
      <c r="BE45" s="62"/>
      <c r="BF45" s="62" t="s">
        <v>267</v>
      </c>
      <c r="BG45" s="62"/>
      <c r="BH45" s="62"/>
      <c r="BI45" s="62"/>
      <c r="BJ45" s="62"/>
      <c r="BK45" s="62"/>
      <c r="BL45" s="62"/>
      <c r="BM45" s="62"/>
      <c r="BN45" s="62"/>
      <c r="BO45" s="62" t="s">
        <v>267</v>
      </c>
      <c r="BP45" s="62"/>
      <c r="BQ45" s="62"/>
      <c r="BR45" s="62"/>
      <c r="BS45" s="62"/>
      <c r="BT45" s="62"/>
      <c r="BU45" s="62"/>
      <c r="BV45" s="62"/>
      <c r="BW45" s="62"/>
      <c r="BX45" s="62"/>
      <c r="BY45" s="62"/>
      <c r="BZ45" s="62" t="s">
        <v>267</v>
      </c>
      <c r="CA45" s="62"/>
      <c r="CB45" s="62"/>
      <c r="CC45" s="62"/>
      <c r="CD45" s="62"/>
      <c r="CE45" s="62"/>
      <c r="CF45" s="62"/>
      <c r="CG45" s="62"/>
      <c r="CH45" s="62"/>
      <c r="CI45" s="62"/>
      <c r="CJ45" s="62"/>
      <c r="CK45" s="62"/>
      <c r="CL45" s="62"/>
      <c r="CM45" s="62"/>
      <c r="CN45" s="62" t="s">
        <v>267</v>
      </c>
      <c r="CO45" s="62"/>
      <c r="CP45" s="62"/>
      <c r="CQ45" s="62"/>
      <c r="CR45" s="62"/>
      <c r="CS45" s="62"/>
      <c r="CT45" s="62"/>
      <c r="CU45" s="62"/>
      <c r="CV45" s="62"/>
      <c r="CW45" s="62"/>
      <c r="CX45" s="62"/>
      <c r="CY45" s="62" t="s">
        <v>267</v>
      </c>
      <c r="CZ45" s="62"/>
      <c r="DA45" s="62"/>
      <c r="DB45" s="62"/>
      <c r="DC45" s="62"/>
      <c r="DD45" s="62"/>
      <c r="DE45" s="62"/>
      <c r="DF45" s="62"/>
      <c r="DG45" s="62"/>
      <c r="DH45" s="62"/>
      <c r="DI45" s="62"/>
      <c r="DJ45" s="62"/>
      <c r="DK45" s="62"/>
      <c r="DL45" s="62"/>
      <c r="DM45" s="62"/>
      <c r="DN45" s="62" t="s">
        <v>267</v>
      </c>
      <c r="DO45" s="62"/>
      <c r="DP45" s="62" t="s">
        <v>292</v>
      </c>
      <c r="DQ45" s="57"/>
      <c r="DR45" s="57"/>
      <c r="DS45" s="57"/>
      <c r="DT45" s="57"/>
      <c r="DU45" s="57"/>
      <c r="DV45" s="57"/>
      <c r="DW45" s="57" t="s">
        <v>275</v>
      </c>
      <c r="DX45" s="57" t="s">
        <v>274</v>
      </c>
      <c r="DY45" s="57" t="s">
        <v>275</v>
      </c>
      <c r="DZ45" s="57" t="s">
        <v>275</v>
      </c>
      <c r="EA45" s="62" t="s">
        <v>275</v>
      </c>
      <c r="EB45" s="65" t="s">
        <v>362</v>
      </c>
      <c r="EC45" s="62" t="s">
        <v>275</v>
      </c>
      <c r="ED45" s="56"/>
      <c r="EE45" s="56" t="s">
        <v>405</v>
      </c>
      <c r="EF45" s="56"/>
      <c r="EG45" s="56"/>
      <c r="EH45" s="58"/>
      <c r="EI45" s="86"/>
      <c r="EJ45" s="86"/>
    </row>
    <row r="46" spans="1:140" ht="51" customHeight="1" outlineLevel="1" x14ac:dyDescent="0.25">
      <c r="A46" s="91"/>
      <c r="B46" s="128" t="s">
        <v>667</v>
      </c>
      <c r="C46" s="56" t="s">
        <v>687</v>
      </c>
      <c r="D46" s="56" t="s">
        <v>190</v>
      </c>
      <c r="E46" s="56" t="s">
        <v>406</v>
      </c>
      <c r="F46" s="57" t="s">
        <v>407</v>
      </c>
      <c r="G46" s="57" t="s">
        <v>623</v>
      </c>
      <c r="H46" s="58"/>
      <c r="I46" s="57" t="s">
        <v>205</v>
      </c>
      <c r="J46" s="57" t="s">
        <v>205</v>
      </c>
      <c r="K46" s="57" t="s">
        <v>202</v>
      </c>
      <c r="L46" s="57" t="s">
        <v>402</v>
      </c>
      <c r="M46" s="57" t="s">
        <v>267</v>
      </c>
      <c r="N46" s="57"/>
      <c r="O46" s="57" t="s">
        <v>669</v>
      </c>
      <c r="P46" s="57" t="s">
        <v>669</v>
      </c>
      <c r="Q46" s="57" t="s">
        <v>272</v>
      </c>
      <c r="R46" s="57" t="s">
        <v>269</v>
      </c>
      <c r="S46" s="57" t="s">
        <v>269</v>
      </c>
      <c r="T46" s="57" t="s">
        <v>269</v>
      </c>
      <c r="U46" s="57" t="s">
        <v>272</v>
      </c>
      <c r="V46" s="62" t="s">
        <v>269</v>
      </c>
      <c r="W46" s="62" t="s">
        <v>269</v>
      </c>
      <c r="X46" s="63" t="s">
        <v>408</v>
      </c>
      <c r="Y46" s="64" t="s">
        <v>272</v>
      </c>
      <c r="Z46" s="64" t="s">
        <v>272</v>
      </c>
      <c r="AA46" s="62" t="s">
        <v>269</v>
      </c>
      <c r="AB46" s="59" t="s">
        <v>272</v>
      </c>
      <c r="AC46" s="59"/>
      <c r="AD46" s="59" t="s">
        <v>274</v>
      </c>
      <c r="AE46" s="57" t="s">
        <v>205</v>
      </c>
      <c r="AF46" s="63" t="s">
        <v>404</v>
      </c>
      <c r="AG46" s="62" t="s">
        <v>267</v>
      </c>
      <c r="AH46" s="62"/>
      <c r="AI46" s="62" t="s">
        <v>267</v>
      </c>
      <c r="AJ46" s="62" t="s">
        <v>267</v>
      </c>
      <c r="AK46" s="62"/>
      <c r="AL46" s="62" t="s">
        <v>267</v>
      </c>
      <c r="AM46" s="62" t="s">
        <v>267</v>
      </c>
      <c r="AN46" s="62" t="s">
        <v>267</v>
      </c>
      <c r="AO46" s="62" t="s">
        <v>267</v>
      </c>
      <c r="AP46" s="62"/>
      <c r="AQ46" s="62"/>
      <c r="AR46" s="62"/>
      <c r="AS46" s="62"/>
      <c r="AT46" s="62"/>
      <c r="AU46" s="62"/>
      <c r="AV46" s="62"/>
      <c r="AW46" s="62"/>
      <c r="AX46" s="62"/>
      <c r="AY46" s="62"/>
      <c r="AZ46" s="62"/>
      <c r="BA46" s="62"/>
      <c r="BB46" s="62"/>
      <c r="BC46" s="62"/>
      <c r="BD46" s="62"/>
      <c r="BE46" s="62"/>
      <c r="BF46" s="62"/>
      <c r="BG46" s="62"/>
      <c r="BH46" s="62"/>
      <c r="BI46" s="62"/>
      <c r="BJ46" s="62"/>
      <c r="BK46" s="62"/>
      <c r="BL46" s="62"/>
      <c r="BM46" s="62"/>
      <c r="BN46" s="62"/>
      <c r="BO46" s="62" t="s">
        <v>267</v>
      </c>
      <c r="BP46" s="62"/>
      <c r="BQ46" s="62"/>
      <c r="BR46" s="62"/>
      <c r="BS46" s="62"/>
      <c r="BT46" s="62"/>
      <c r="BU46" s="62"/>
      <c r="BV46" s="62"/>
      <c r="BW46" s="62"/>
      <c r="BX46" s="62"/>
      <c r="BY46" s="62"/>
      <c r="BZ46" s="62" t="s">
        <v>267</v>
      </c>
      <c r="CA46" s="62"/>
      <c r="CB46" s="62"/>
      <c r="CC46" s="62"/>
      <c r="CD46" s="62"/>
      <c r="CE46" s="62"/>
      <c r="CF46" s="62"/>
      <c r="CG46" s="62"/>
      <c r="CH46" s="62"/>
      <c r="CI46" s="62"/>
      <c r="CJ46" s="62"/>
      <c r="CK46" s="62"/>
      <c r="CL46" s="62"/>
      <c r="CM46" s="62"/>
      <c r="CN46" s="62" t="s">
        <v>267</v>
      </c>
      <c r="CO46" s="62"/>
      <c r="CP46" s="62"/>
      <c r="CQ46" s="62"/>
      <c r="CR46" s="62"/>
      <c r="CS46" s="62"/>
      <c r="CT46" s="62"/>
      <c r="CU46" s="62"/>
      <c r="CV46" s="62"/>
      <c r="CW46" s="62"/>
      <c r="CX46" s="62"/>
      <c r="CY46" s="62" t="s">
        <v>267</v>
      </c>
      <c r="CZ46" s="62"/>
      <c r="DA46" s="62"/>
      <c r="DB46" s="62"/>
      <c r="DC46" s="62"/>
      <c r="DD46" s="62"/>
      <c r="DE46" s="62"/>
      <c r="DF46" s="62"/>
      <c r="DG46" s="62"/>
      <c r="DH46" s="62"/>
      <c r="DI46" s="62"/>
      <c r="DJ46" s="62"/>
      <c r="DK46" s="62"/>
      <c r="DL46" s="62"/>
      <c r="DM46" s="62"/>
      <c r="DN46" s="62" t="s">
        <v>267</v>
      </c>
      <c r="DO46" s="62"/>
      <c r="DP46" s="62" t="s">
        <v>121</v>
      </c>
      <c r="DQ46" s="57"/>
      <c r="DR46" s="57"/>
      <c r="DS46" s="57"/>
      <c r="DT46" s="57"/>
      <c r="DU46" s="57"/>
      <c r="DV46" s="57"/>
      <c r="DW46" s="57" t="s">
        <v>274</v>
      </c>
      <c r="DX46" s="57" t="s">
        <v>274</v>
      </c>
      <c r="DY46" s="57" t="s">
        <v>274</v>
      </c>
      <c r="DZ46" s="57" t="s">
        <v>274</v>
      </c>
      <c r="EA46" s="62" t="s">
        <v>274</v>
      </c>
      <c r="EB46" s="65" t="s">
        <v>677</v>
      </c>
      <c r="EC46" s="62" t="s">
        <v>275</v>
      </c>
      <c r="ED46" s="56"/>
      <c r="EE46" s="56"/>
      <c r="EF46" s="56"/>
      <c r="EG46" s="56"/>
      <c r="EH46" s="58"/>
      <c r="EI46" s="86"/>
      <c r="EJ46" s="86"/>
    </row>
    <row r="47" spans="1:140" ht="52.8" outlineLevel="1" x14ac:dyDescent="0.25">
      <c r="A47" s="91"/>
      <c r="B47" s="128" t="s">
        <v>667</v>
      </c>
      <c r="C47" s="56" t="s">
        <v>687</v>
      </c>
      <c r="D47" s="56" t="s">
        <v>176</v>
      </c>
      <c r="E47" s="56" t="s">
        <v>409</v>
      </c>
      <c r="F47" s="57" t="s">
        <v>279</v>
      </c>
      <c r="G47" s="57" t="s">
        <v>623</v>
      </c>
      <c r="H47" s="58"/>
      <c r="I47" s="57" t="s">
        <v>448</v>
      </c>
      <c r="J47" s="57" t="s">
        <v>448</v>
      </c>
      <c r="K47" s="57" t="s">
        <v>448</v>
      </c>
      <c r="L47" s="57" t="s">
        <v>450</v>
      </c>
      <c r="M47" s="57" t="s">
        <v>267</v>
      </c>
      <c r="N47" s="57" t="s">
        <v>267</v>
      </c>
      <c r="O47" s="57"/>
      <c r="P47" s="57"/>
      <c r="Q47" s="57" t="s">
        <v>268</v>
      </c>
      <c r="R47" s="57" t="s">
        <v>268</v>
      </c>
      <c r="S47" s="57" t="s">
        <v>268</v>
      </c>
      <c r="T47" s="57" t="s">
        <v>269</v>
      </c>
      <c r="U47" s="57" t="s">
        <v>268</v>
      </c>
      <c r="V47" s="57" t="s">
        <v>268</v>
      </c>
      <c r="W47" s="57" t="s">
        <v>269</v>
      </c>
      <c r="X47" s="58" t="s">
        <v>280</v>
      </c>
      <c r="Y47" s="59" t="s">
        <v>271</v>
      </c>
      <c r="Z47" s="59" t="s">
        <v>272</v>
      </c>
      <c r="AA47" s="57" t="s">
        <v>268</v>
      </c>
      <c r="AB47" s="59" t="s">
        <v>269</v>
      </c>
      <c r="AC47" s="59"/>
      <c r="AD47" s="59" t="s">
        <v>275</v>
      </c>
      <c r="AE47" s="57"/>
      <c r="AF47" s="58" t="s">
        <v>83</v>
      </c>
      <c r="AG47" s="57" t="s">
        <v>267</v>
      </c>
      <c r="AH47" s="57"/>
      <c r="AI47" s="57"/>
      <c r="AJ47" s="57"/>
      <c r="AK47" s="57"/>
      <c r="AL47" s="57" t="s">
        <v>267</v>
      </c>
      <c r="AM47" s="57" t="s">
        <v>267</v>
      </c>
      <c r="AN47" s="57" t="s">
        <v>267</v>
      </c>
      <c r="AO47" s="57" t="s">
        <v>267</v>
      </c>
      <c r="AP47" s="57"/>
      <c r="AQ47" s="57"/>
      <c r="AR47" s="57"/>
      <c r="AS47" s="57"/>
      <c r="AT47" s="57"/>
      <c r="AU47" s="57"/>
      <c r="AV47" s="57"/>
      <c r="AW47" s="57"/>
      <c r="AX47" s="57"/>
      <c r="AY47" s="57"/>
      <c r="AZ47" s="57"/>
      <c r="BA47" s="57"/>
      <c r="BB47" s="57" t="s">
        <v>267</v>
      </c>
      <c r="BC47" s="57"/>
      <c r="BD47" s="57"/>
      <c r="BE47" s="57"/>
      <c r="BF47" s="57"/>
      <c r="BG47" s="57"/>
      <c r="BH47" s="57"/>
      <c r="BI47" s="57"/>
      <c r="BJ47" s="57"/>
      <c r="BK47" s="57"/>
      <c r="BL47" s="57"/>
      <c r="BM47" s="57"/>
      <c r="BN47" s="57"/>
      <c r="BO47" s="57" t="s">
        <v>267</v>
      </c>
      <c r="BP47" s="57"/>
      <c r="BQ47" s="57"/>
      <c r="BR47" s="57"/>
      <c r="BS47" s="57"/>
      <c r="BT47" s="57"/>
      <c r="BU47" s="57"/>
      <c r="BV47" s="57"/>
      <c r="BW47" s="57"/>
      <c r="BX47" s="57"/>
      <c r="BY47" s="57"/>
      <c r="BZ47" s="57" t="s">
        <v>267</v>
      </c>
      <c r="CA47" s="57"/>
      <c r="CB47" s="57"/>
      <c r="CC47" s="57"/>
      <c r="CD47" s="57"/>
      <c r="CE47" s="57"/>
      <c r="CF47" s="57"/>
      <c r="CG47" s="57"/>
      <c r="CH47" s="57"/>
      <c r="CI47" s="57"/>
      <c r="CJ47" s="57"/>
      <c r="CK47" s="57"/>
      <c r="CL47" s="57"/>
      <c r="CM47" s="57"/>
      <c r="CN47" s="57" t="s">
        <v>267</v>
      </c>
      <c r="CO47" s="57"/>
      <c r="CP47" s="57"/>
      <c r="CQ47" s="57"/>
      <c r="CR47" s="57"/>
      <c r="CS47" s="57"/>
      <c r="CT47" s="57"/>
      <c r="CU47" s="57"/>
      <c r="CV47" s="57"/>
      <c r="CW47" s="57"/>
      <c r="CX47" s="57"/>
      <c r="CY47" s="57" t="s">
        <v>267</v>
      </c>
      <c r="CZ47" s="57"/>
      <c r="DA47" s="57"/>
      <c r="DB47" s="57"/>
      <c r="DC47" s="57"/>
      <c r="DD47" s="57"/>
      <c r="DE47" s="57"/>
      <c r="DF47" s="57"/>
      <c r="DG47" s="57"/>
      <c r="DH47" s="57"/>
      <c r="DI47" s="57"/>
      <c r="DJ47" s="57"/>
      <c r="DK47" s="57"/>
      <c r="DL47" s="57"/>
      <c r="DM47" s="57"/>
      <c r="DN47" s="57" t="s">
        <v>267</v>
      </c>
      <c r="DO47" s="57"/>
      <c r="DP47" s="57" t="s">
        <v>121</v>
      </c>
      <c r="DQ47" s="62"/>
      <c r="DR47" s="62"/>
      <c r="DS47" s="62"/>
      <c r="DT47" s="62"/>
      <c r="DU47" s="62"/>
      <c r="DV47" s="62"/>
      <c r="DW47" s="62" t="s">
        <v>275</v>
      </c>
      <c r="DX47" s="62" t="s">
        <v>274</v>
      </c>
      <c r="DY47" s="62" t="s">
        <v>275</v>
      </c>
      <c r="DZ47" s="62" t="s">
        <v>275</v>
      </c>
      <c r="EA47" s="57" t="s">
        <v>275</v>
      </c>
      <c r="EB47" s="56" t="s">
        <v>362</v>
      </c>
      <c r="EC47" s="57" t="s">
        <v>275</v>
      </c>
      <c r="ED47" s="56"/>
      <c r="EE47" s="56"/>
      <c r="EF47" s="56"/>
      <c r="EG47" s="56"/>
      <c r="EH47" s="58"/>
      <c r="EI47" s="86"/>
      <c r="EJ47" s="86"/>
    </row>
    <row r="48" spans="1:140" ht="52.8" outlineLevel="1" x14ac:dyDescent="0.25">
      <c r="A48" s="91"/>
      <c r="B48" s="128" t="s">
        <v>667</v>
      </c>
      <c r="C48" s="56" t="s">
        <v>686</v>
      </c>
      <c r="D48" s="56" t="s">
        <v>188</v>
      </c>
      <c r="E48" s="56" t="s">
        <v>396</v>
      </c>
      <c r="F48" s="57" t="s">
        <v>279</v>
      </c>
      <c r="G48" s="57" t="s">
        <v>623</v>
      </c>
      <c r="H48" s="58"/>
      <c r="I48" s="57" t="s">
        <v>199</v>
      </c>
      <c r="J48" s="57" t="s">
        <v>199</v>
      </c>
      <c r="K48" s="57" t="s">
        <v>202</v>
      </c>
      <c r="L48" s="57" t="s">
        <v>397</v>
      </c>
      <c r="M48" s="57" t="s">
        <v>267</v>
      </c>
      <c r="N48" s="57" t="s">
        <v>267</v>
      </c>
      <c r="O48" s="57" t="s">
        <v>662</v>
      </c>
      <c r="P48" s="57"/>
      <c r="Q48" s="57" t="s">
        <v>272</v>
      </c>
      <c r="R48" s="57" t="s">
        <v>272</v>
      </c>
      <c r="S48" s="57" t="s">
        <v>271</v>
      </c>
      <c r="T48" s="57" t="s">
        <v>272</v>
      </c>
      <c r="U48" s="57" t="s">
        <v>269</v>
      </c>
      <c r="V48" s="57" t="s">
        <v>271</v>
      </c>
      <c r="W48" s="57" t="s">
        <v>271</v>
      </c>
      <c r="X48" s="58" t="s">
        <v>398</v>
      </c>
      <c r="Y48" s="59" t="s">
        <v>272</v>
      </c>
      <c r="Z48" s="59" t="s">
        <v>272</v>
      </c>
      <c r="AA48" s="57" t="s">
        <v>271</v>
      </c>
      <c r="AB48" s="59" t="s">
        <v>271</v>
      </c>
      <c r="AC48" s="59"/>
      <c r="AD48" s="59" t="s">
        <v>275</v>
      </c>
      <c r="AE48" s="57" t="s">
        <v>199</v>
      </c>
      <c r="AF48" s="58" t="s">
        <v>460</v>
      </c>
      <c r="AG48" s="57" t="s">
        <v>267</v>
      </c>
      <c r="AH48" s="57"/>
      <c r="AI48" s="57"/>
      <c r="AJ48" s="57"/>
      <c r="AK48" s="57"/>
      <c r="AL48" s="57" t="s">
        <v>267</v>
      </c>
      <c r="AM48" s="57" t="s">
        <v>267</v>
      </c>
      <c r="AN48" s="57"/>
      <c r="AO48" s="57" t="s">
        <v>267</v>
      </c>
      <c r="AP48" s="57"/>
      <c r="AQ48" s="57" t="s">
        <v>267</v>
      </c>
      <c r="AR48" s="57"/>
      <c r="AS48" s="57"/>
      <c r="AT48" s="57" t="s">
        <v>267</v>
      </c>
      <c r="AU48" s="57"/>
      <c r="AV48" s="57"/>
      <c r="AW48" s="57"/>
      <c r="AX48" s="57"/>
      <c r="AY48" s="57"/>
      <c r="AZ48" s="57"/>
      <c r="BA48" s="57"/>
      <c r="BB48" s="57" t="s">
        <v>267</v>
      </c>
      <c r="BC48" s="57"/>
      <c r="BD48" s="57"/>
      <c r="BE48" s="57" t="s">
        <v>267</v>
      </c>
      <c r="BF48" s="57"/>
      <c r="BG48" s="57"/>
      <c r="BH48" s="57"/>
      <c r="BI48" s="57" t="s">
        <v>267</v>
      </c>
      <c r="BJ48" s="57"/>
      <c r="BK48" s="57"/>
      <c r="BL48" s="57"/>
      <c r="BM48" s="57"/>
      <c r="BN48" s="57"/>
      <c r="BO48" s="57" t="s">
        <v>267</v>
      </c>
      <c r="BP48" s="57"/>
      <c r="BQ48" s="57"/>
      <c r="BR48" s="57"/>
      <c r="BS48" s="57"/>
      <c r="BT48" s="57"/>
      <c r="BU48" s="57"/>
      <c r="BV48" s="57" t="s">
        <v>267</v>
      </c>
      <c r="BW48" s="57"/>
      <c r="BX48" s="57"/>
      <c r="BY48" s="57"/>
      <c r="BZ48" s="57" t="s">
        <v>267</v>
      </c>
      <c r="CA48" s="57"/>
      <c r="CB48" s="57"/>
      <c r="CC48" s="57"/>
      <c r="CD48" s="57"/>
      <c r="CE48" s="57"/>
      <c r="CF48" s="57"/>
      <c r="CG48" s="57"/>
      <c r="CH48" s="57"/>
      <c r="CI48" s="57"/>
      <c r="CJ48" s="57"/>
      <c r="CK48" s="57"/>
      <c r="CL48" s="57"/>
      <c r="CM48" s="57"/>
      <c r="CN48" s="57" t="s">
        <v>267</v>
      </c>
      <c r="CO48" s="57"/>
      <c r="CP48" s="57"/>
      <c r="CQ48" s="57"/>
      <c r="CR48" s="57"/>
      <c r="CS48" s="57"/>
      <c r="CT48" s="57"/>
      <c r="CU48" s="57" t="s">
        <v>267</v>
      </c>
      <c r="CV48" s="57"/>
      <c r="CW48" s="57"/>
      <c r="CX48" s="57"/>
      <c r="CY48" s="57" t="s">
        <v>267</v>
      </c>
      <c r="CZ48" s="57"/>
      <c r="DA48" s="57"/>
      <c r="DB48" s="57"/>
      <c r="DC48" s="57"/>
      <c r="DD48" s="57"/>
      <c r="DE48" s="57"/>
      <c r="DF48" s="57"/>
      <c r="DG48" s="57"/>
      <c r="DH48" s="57"/>
      <c r="DI48" s="57"/>
      <c r="DJ48" s="57"/>
      <c r="DK48" s="57"/>
      <c r="DL48" s="57"/>
      <c r="DM48" s="57"/>
      <c r="DN48" s="57" t="s">
        <v>267</v>
      </c>
      <c r="DO48" s="57"/>
      <c r="DP48" s="57" t="s">
        <v>399</v>
      </c>
      <c r="DQ48" s="57"/>
      <c r="DR48" s="57"/>
      <c r="DS48" s="57"/>
      <c r="DT48" s="57"/>
      <c r="DU48" s="57"/>
      <c r="DV48" s="57"/>
      <c r="DW48" s="57" t="s">
        <v>274</v>
      </c>
      <c r="DX48" s="57" t="s">
        <v>274</v>
      </c>
      <c r="DY48" s="57" t="s">
        <v>274</v>
      </c>
      <c r="DZ48" s="57" t="s">
        <v>274</v>
      </c>
      <c r="EA48" s="57" t="s">
        <v>274</v>
      </c>
      <c r="EB48" s="56" t="s">
        <v>400</v>
      </c>
      <c r="EC48" s="57" t="s">
        <v>439</v>
      </c>
      <c r="ED48" s="56"/>
      <c r="EE48" s="56"/>
      <c r="EF48" s="56"/>
      <c r="EG48" s="56"/>
      <c r="EH48" s="58"/>
      <c r="EI48" s="86"/>
      <c r="EJ48" s="86"/>
    </row>
    <row r="49" spans="1:140" ht="92.4" outlineLevel="1" x14ac:dyDescent="0.25">
      <c r="A49" s="91"/>
      <c r="B49" s="128" t="s">
        <v>667</v>
      </c>
      <c r="C49" s="56" t="s">
        <v>685</v>
      </c>
      <c r="D49" s="56" t="s">
        <v>187</v>
      </c>
      <c r="E49" s="56" t="s">
        <v>475</v>
      </c>
      <c r="F49" s="57" t="s">
        <v>279</v>
      </c>
      <c r="G49" s="57" t="s">
        <v>623</v>
      </c>
      <c r="H49" s="58"/>
      <c r="I49" s="57" t="s">
        <v>204</v>
      </c>
      <c r="J49" s="57" t="s">
        <v>204</v>
      </c>
      <c r="K49" s="57" t="s">
        <v>198</v>
      </c>
      <c r="L49" s="57" t="s">
        <v>392</v>
      </c>
      <c r="M49" s="57" t="s">
        <v>267</v>
      </c>
      <c r="N49" s="57"/>
      <c r="O49" s="57" t="s">
        <v>909</v>
      </c>
      <c r="P49" s="57"/>
      <c r="Q49" s="57" t="s">
        <v>268</v>
      </c>
      <c r="R49" s="57" t="s">
        <v>268</v>
      </c>
      <c r="S49" s="57" t="s">
        <v>271</v>
      </c>
      <c r="T49" s="57" t="s">
        <v>272</v>
      </c>
      <c r="U49" s="57" t="s">
        <v>268</v>
      </c>
      <c r="V49" s="57" t="s">
        <v>271</v>
      </c>
      <c r="W49" s="57" t="s">
        <v>271</v>
      </c>
      <c r="X49" s="58" t="s">
        <v>280</v>
      </c>
      <c r="Y49" s="59" t="s">
        <v>271</v>
      </c>
      <c r="Z49" s="59" t="s">
        <v>272</v>
      </c>
      <c r="AA49" s="57" t="s">
        <v>271</v>
      </c>
      <c r="AB49" s="59" t="s">
        <v>269</v>
      </c>
      <c r="AC49" s="59"/>
      <c r="AD49" s="59" t="s">
        <v>274</v>
      </c>
      <c r="AE49" s="57" t="s">
        <v>204</v>
      </c>
      <c r="AF49" s="58" t="s">
        <v>393</v>
      </c>
      <c r="AG49" s="57" t="s">
        <v>267</v>
      </c>
      <c r="AH49" s="57"/>
      <c r="AI49" s="57" t="s">
        <v>267</v>
      </c>
      <c r="AJ49" s="57" t="s">
        <v>267</v>
      </c>
      <c r="AK49" s="57"/>
      <c r="AL49" s="57" t="s">
        <v>267</v>
      </c>
      <c r="AM49" s="57" t="s">
        <v>267</v>
      </c>
      <c r="AN49" s="57"/>
      <c r="AO49" s="57" t="s">
        <v>267</v>
      </c>
      <c r="AP49" s="57"/>
      <c r="AQ49" s="57"/>
      <c r="AR49" s="57"/>
      <c r="AS49" s="57"/>
      <c r="AT49" s="57" t="s">
        <v>267</v>
      </c>
      <c r="AU49" s="57"/>
      <c r="AV49" s="57"/>
      <c r="AW49" s="57"/>
      <c r="AX49" s="57"/>
      <c r="AY49" s="57"/>
      <c r="AZ49" s="57"/>
      <c r="BA49" s="57"/>
      <c r="BB49" s="57" t="s">
        <v>267</v>
      </c>
      <c r="BC49" s="57"/>
      <c r="BD49" s="57"/>
      <c r="BE49" s="57"/>
      <c r="BF49" s="57"/>
      <c r="BG49" s="57"/>
      <c r="BH49" s="57"/>
      <c r="BI49" s="57" t="s">
        <v>267</v>
      </c>
      <c r="BJ49" s="57"/>
      <c r="BK49" s="57"/>
      <c r="BL49" s="57"/>
      <c r="BM49" s="57"/>
      <c r="BN49" s="57"/>
      <c r="BO49" s="57" t="s">
        <v>267</v>
      </c>
      <c r="BP49" s="57"/>
      <c r="BQ49" s="57"/>
      <c r="BR49" s="57"/>
      <c r="BS49" s="57"/>
      <c r="BT49" s="57"/>
      <c r="BU49" s="57"/>
      <c r="BV49" s="57" t="s">
        <v>267</v>
      </c>
      <c r="BW49" s="57"/>
      <c r="BX49" s="57"/>
      <c r="BY49" s="57"/>
      <c r="BZ49" s="57" t="s">
        <v>267</v>
      </c>
      <c r="CA49" s="57"/>
      <c r="CB49" s="57"/>
      <c r="CC49" s="57"/>
      <c r="CD49" s="57"/>
      <c r="CE49" s="57"/>
      <c r="CF49" s="57"/>
      <c r="CG49" s="57"/>
      <c r="CH49" s="57"/>
      <c r="CI49" s="57"/>
      <c r="CJ49" s="57"/>
      <c r="CK49" s="57"/>
      <c r="CL49" s="57"/>
      <c r="CM49" s="57"/>
      <c r="CN49" s="57" t="s">
        <v>267</v>
      </c>
      <c r="CO49" s="57"/>
      <c r="CP49" s="57"/>
      <c r="CQ49" s="57"/>
      <c r="CR49" s="57"/>
      <c r="CS49" s="57"/>
      <c r="CT49" s="57"/>
      <c r="CU49" s="57" t="s">
        <v>267</v>
      </c>
      <c r="CV49" s="57"/>
      <c r="CW49" s="57"/>
      <c r="CX49" s="57"/>
      <c r="CY49" s="57" t="s">
        <v>267</v>
      </c>
      <c r="CZ49" s="57"/>
      <c r="DA49" s="57"/>
      <c r="DB49" s="57"/>
      <c r="DC49" s="57"/>
      <c r="DD49" s="57"/>
      <c r="DE49" s="57"/>
      <c r="DF49" s="57"/>
      <c r="DG49" s="57"/>
      <c r="DH49" s="57"/>
      <c r="DI49" s="57"/>
      <c r="DJ49" s="57"/>
      <c r="DK49" s="57"/>
      <c r="DL49" s="57"/>
      <c r="DM49" s="57"/>
      <c r="DN49" s="57" t="s">
        <v>267</v>
      </c>
      <c r="DO49" s="57"/>
      <c r="DP49" s="57" t="s">
        <v>292</v>
      </c>
      <c r="DQ49" s="57"/>
      <c r="DR49" s="57"/>
      <c r="DS49" s="57"/>
      <c r="DT49" s="57"/>
      <c r="DU49" s="57"/>
      <c r="DV49" s="57"/>
      <c r="DW49" s="57" t="s">
        <v>274</v>
      </c>
      <c r="DX49" s="57" t="s">
        <v>274</v>
      </c>
      <c r="DY49" s="57" t="s">
        <v>274</v>
      </c>
      <c r="DZ49" s="57" t="s">
        <v>275</v>
      </c>
      <c r="EA49" s="57" t="s">
        <v>275</v>
      </c>
      <c r="EB49" s="56" t="s">
        <v>394</v>
      </c>
      <c r="EC49" s="57" t="s">
        <v>275</v>
      </c>
      <c r="ED49" s="56" t="s">
        <v>395</v>
      </c>
      <c r="EE49" s="56"/>
      <c r="EF49" s="56"/>
      <c r="EG49" s="56"/>
      <c r="EH49" s="58"/>
      <c r="EI49" s="86"/>
      <c r="EJ49" s="86"/>
    </row>
    <row r="50" spans="1:140" ht="66" x14ac:dyDescent="0.25">
      <c r="A50" s="91"/>
      <c r="B50" s="141" t="s">
        <v>697</v>
      </c>
      <c r="C50" s="56" t="s">
        <v>904</v>
      </c>
      <c r="D50" s="56" t="s">
        <v>818</v>
      </c>
      <c r="E50" s="56" t="s">
        <v>819</v>
      </c>
      <c r="F50" s="57" t="s">
        <v>279</v>
      </c>
      <c r="G50" s="57" t="s">
        <v>668</v>
      </c>
      <c r="H50" s="58"/>
      <c r="I50" s="57" t="s">
        <v>196</v>
      </c>
      <c r="J50" s="57" t="s">
        <v>196</v>
      </c>
      <c r="K50" s="57" t="s">
        <v>196</v>
      </c>
      <c r="L50" s="57" t="s">
        <v>289</v>
      </c>
      <c r="M50" s="57"/>
      <c r="N50" s="57" t="s">
        <v>267</v>
      </c>
      <c r="O50" s="57"/>
      <c r="P50" s="57"/>
      <c r="Q50" s="57" t="s">
        <v>271</v>
      </c>
      <c r="R50" s="57" t="s">
        <v>271</v>
      </c>
      <c r="S50" s="57" t="s">
        <v>271</v>
      </c>
      <c r="T50" s="57" t="s">
        <v>269</v>
      </c>
      <c r="U50" s="57" t="s">
        <v>269</v>
      </c>
      <c r="V50" s="57" t="s">
        <v>268</v>
      </c>
      <c r="W50" s="57" t="s">
        <v>268</v>
      </c>
      <c r="X50" s="58" t="s">
        <v>290</v>
      </c>
      <c r="Y50" s="59" t="s">
        <v>269</v>
      </c>
      <c r="Z50" s="59" t="s">
        <v>269</v>
      </c>
      <c r="AA50" s="57" t="s">
        <v>271</v>
      </c>
      <c r="AB50" s="59" t="s">
        <v>271</v>
      </c>
      <c r="AC50" s="59"/>
      <c r="AD50" s="59" t="s">
        <v>275</v>
      </c>
      <c r="AE50" s="57"/>
      <c r="AF50" s="58" t="s">
        <v>291</v>
      </c>
      <c r="AG50" s="57" t="s">
        <v>267</v>
      </c>
      <c r="AH50" s="57"/>
      <c r="AI50" s="57" t="s">
        <v>267</v>
      </c>
      <c r="AJ50" s="57" t="s">
        <v>267</v>
      </c>
      <c r="AK50" s="57"/>
      <c r="AL50" s="57" t="s">
        <v>267</v>
      </c>
      <c r="AM50" s="57" t="s">
        <v>267</v>
      </c>
      <c r="AN50" s="57" t="s">
        <v>267</v>
      </c>
      <c r="AO50" s="57" t="s">
        <v>267</v>
      </c>
      <c r="AP50" s="57"/>
      <c r="AQ50" s="57"/>
      <c r="AR50" s="57"/>
      <c r="AS50" s="57"/>
      <c r="AT50" s="57" t="s">
        <v>267</v>
      </c>
      <c r="AU50" s="57"/>
      <c r="AV50" s="57"/>
      <c r="AW50" s="57"/>
      <c r="AX50" s="57"/>
      <c r="AY50" s="57" t="s">
        <v>267</v>
      </c>
      <c r="AZ50" s="57"/>
      <c r="BA50" s="57"/>
      <c r="BB50" s="57" t="s">
        <v>267</v>
      </c>
      <c r="BC50" s="57"/>
      <c r="BD50" s="57"/>
      <c r="BE50" s="57"/>
      <c r="BF50" s="57"/>
      <c r="BG50" s="57"/>
      <c r="BH50" s="57"/>
      <c r="BI50" s="57"/>
      <c r="BJ50" s="57"/>
      <c r="BK50" s="57"/>
      <c r="BL50" s="57"/>
      <c r="BM50" s="57"/>
      <c r="BN50" s="57"/>
      <c r="BO50" s="57" t="s">
        <v>267</v>
      </c>
      <c r="BP50" s="57"/>
      <c r="BQ50" s="57"/>
      <c r="BR50" s="57"/>
      <c r="BS50" s="57"/>
      <c r="BT50" s="57"/>
      <c r="BU50" s="57"/>
      <c r="BV50" s="57"/>
      <c r="BW50" s="57"/>
      <c r="BX50" s="57"/>
      <c r="BY50" s="57"/>
      <c r="BZ50" s="57" t="s">
        <v>267</v>
      </c>
      <c r="CA50" s="57"/>
      <c r="CB50" s="57"/>
      <c r="CC50" s="57"/>
      <c r="CD50" s="57"/>
      <c r="CE50" s="57"/>
      <c r="CF50" s="57"/>
      <c r="CG50" s="57"/>
      <c r="CH50" s="57"/>
      <c r="CI50" s="57"/>
      <c r="CJ50" s="57"/>
      <c r="CK50" s="57"/>
      <c r="CL50" s="57"/>
      <c r="CM50" s="57"/>
      <c r="CN50" s="57" t="s">
        <v>267</v>
      </c>
      <c r="CO50" s="57"/>
      <c r="CP50" s="57"/>
      <c r="CQ50" s="57"/>
      <c r="CR50" s="57"/>
      <c r="CS50" s="57"/>
      <c r="CT50" s="57"/>
      <c r="CU50" s="57"/>
      <c r="CV50" s="57"/>
      <c r="CW50" s="57"/>
      <c r="CX50" s="57"/>
      <c r="CY50" s="57" t="s">
        <v>267</v>
      </c>
      <c r="CZ50" s="57"/>
      <c r="DA50" s="57"/>
      <c r="DB50" s="57"/>
      <c r="DC50" s="57"/>
      <c r="DD50" s="57"/>
      <c r="DE50" s="57"/>
      <c r="DF50" s="57"/>
      <c r="DG50" s="57"/>
      <c r="DH50" s="57"/>
      <c r="DI50" s="57"/>
      <c r="DJ50" s="57"/>
      <c r="DK50" s="57"/>
      <c r="DL50" s="57"/>
      <c r="DM50" s="57"/>
      <c r="DN50" s="57" t="s">
        <v>267</v>
      </c>
      <c r="DO50" s="57"/>
      <c r="DP50" s="57" t="s">
        <v>292</v>
      </c>
      <c r="DQ50" s="62"/>
      <c r="DR50" s="62"/>
      <c r="DS50" s="62"/>
      <c r="DT50" s="62"/>
      <c r="DU50" s="62"/>
      <c r="DV50" s="62"/>
      <c r="DW50" s="62" t="s">
        <v>275</v>
      </c>
      <c r="DX50" s="62" t="s">
        <v>275</v>
      </c>
      <c r="DY50" s="62" t="s">
        <v>275</v>
      </c>
      <c r="DZ50" s="62" t="s">
        <v>275</v>
      </c>
      <c r="EA50" s="57" t="s">
        <v>274</v>
      </c>
      <c r="EB50" s="56" t="s">
        <v>673</v>
      </c>
      <c r="EC50" s="57" t="s">
        <v>672</v>
      </c>
      <c r="ED50" s="56"/>
      <c r="EE50" s="56"/>
      <c r="EF50" s="56"/>
      <c r="EG50" s="56"/>
      <c r="EH50" s="58"/>
      <c r="EI50" s="86"/>
      <c r="EJ50" s="86"/>
    </row>
    <row r="51" spans="1:140" ht="39.6" x14ac:dyDescent="0.25">
      <c r="A51" s="91"/>
      <c r="B51" s="141" t="s">
        <v>697</v>
      </c>
      <c r="C51" s="56" t="s">
        <v>904</v>
      </c>
      <c r="D51" s="56" t="s">
        <v>690</v>
      </c>
      <c r="E51" s="56" t="s">
        <v>813</v>
      </c>
      <c r="F51" s="57" t="s">
        <v>279</v>
      </c>
      <c r="G51" s="57" t="s">
        <v>623</v>
      </c>
      <c r="H51" s="58"/>
      <c r="I51" s="57" t="s">
        <v>448</v>
      </c>
      <c r="J51" s="57"/>
      <c r="K51" s="57" t="s">
        <v>448</v>
      </c>
      <c r="L51" s="57"/>
      <c r="M51" s="57" t="s">
        <v>267</v>
      </c>
      <c r="N51" s="57"/>
      <c r="O51" s="57"/>
      <c r="P51" s="57"/>
      <c r="Q51" s="57" t="s">
        <v>271</v>
      </c>
      <c r="R51" s="57" t="s">
        <v>268</v>
      </c>
      <c r="S51" s="57" t="s">
        <v>269</v>
      </c>
      <c r="T51" s="57" t="s">
        <v>269</v>
      </c>
      <c r="U51" s="57" t="s">
        <v>271</v>
      </c>
      <c r="V51" s="57" t="s">
        <v>268</v>
      </c>
      <c r="W51" s="57" t="s">
        <v>269</v>
      </c>
      <c r="X51" s="58"/>
      <c r="Y51" s="59" t="s">
        <v>269</v>
      </c>
      <c r="Z51" s="59" t="s">
        <v>269</v>
      </c>
      <c r="AA51" s="57" t="s">
        <v>269</v>
      </c>
      <c r="AB51" s="59" t="s">
        <v>269</v>
      </c>
      <c r="AC51" s="59"/>
      <c r="AD51" s="59" t="s">
        <v>274</v>
      </c>
      <c r="AE51" s="57" t="s">
        <v>199</v>
      </c>
      <c r="AF51" s="58"/>
      <c r="AG51" s="57" t="s">
        <v>267</v>
      </c>
      <c r="AH51" s="57" t="s">
        <v>267</v>
      </c>
      <c r="AI51" s="57"/>
      <c r="AJ51" s="57"/>
      <c r="AK51" s="57"/>
      <c r="AL51" s="57" t="s">
        <v>267</v>
      </c>
      <c r="AM51" s="57" t="s">
        <v>267</v>
      </c>
      <c r="AN51" s="57" t="s">
        <v>267</v>
      </c>
      <c r="AO51" s="57" t="s">
        <v>267</v>
      </c>
      <c r="AP51" s="57"/>
      <c r="AQ51" s="57"/>
      <c r="AR51" s="57"/>
      <c r="AS51" s="57"/>
      <c r="AT51" s="57"/>
      <c r="AU51" s="57"/>
      <c r="AV51" s="57"/>
      <c r="AW51" s="57"/>
      <c r="AX51" s="57"/>
      <c r="AY51" s="57"/>
      <c r="AZ51" s="57"/>
      <c r="BA51" s="57"/>
      <c r="BB51" s="57"/>
      <c r="BC51" s="57"/>
      <c r="BD51" s="57"/>
      <c r="BE51" s="57"/>
      <c r="BF51" s="57"/>
      <c r="BG51" s="57"/>
      <c r="BH51" s="57"/>
      <c r="BI51" s="57"/>
      <c r="BJ51" s="57"/>
      <c r="BK51" s="57"/>
      <c r="BL51" s="57"/>
      <c r="BM51" s="57"/>
      <c r="BN51" s="57"/>
      <c r="BO51" s="57"/>
      <c r="BP51" s="57"/>
      <c r="BQ51" s="57"/>
      <c r="BR51" s="57"/>
      <c r="BS51" s="57"/>
      <c r="BT51" s="57"/>
      <c r="BU51" s="57"/>
      <c r="BV51" s="57"/>
      <c r="BW51" s="57"/>
      <c r="BX51" s="57"/>
      <c r="BY51" s="57"/>
      <c r="BZ51" s="57"/>
      <c r="CA51" s="57"/>
      <c r="CB51" s="57"/>
      <c r="CC51" s="57"/>
      <c r="CD51" s="57"/>
      <c r="CE51" s="57"/>
      <c r="CF51" s="57"/>
      <c r="CG51" s="57"/>
      <c r="CH51" s="57"/>
      <c r="CI51" s="57"/>
      <c r="CJ51" s="57"/>
      <c r="CK51" s="57"/>
      <c r="CL51" s="57"/>
      <c r="CM51" s="57"/>
      <c r="CN51" s="57"/>
      <c r="CO51" s="57"/>
      <c r="CP51" s="57"/>
      <c r="CQ51" s="57"/>
      <c r="CR51" s="57"/>
      <c r="CS51" s="57"/>
      <c r="CT51" s="57"/>
      <c r="CU51" s="57"/>
      <c r="CV51" s="57"/>
      <c r="CW51" s="57"/>
      <c r="CX51" s="57"/>
      <c r="CY51" s="57"/>
      <c r="CZ51" s="57"/>
      <c r="DA51" s="57"/>
      <c r="DB51" s="57"/>
      <c r="DC51" s="57"/>
      <c r="DD51" s="57"/>
      <c r="DE51" s="57"/>
      <c r="DF51" s="57"/>
      <c r="DG51" s="57"/>
      <c r="DH51" s="57"/>
      <c r="DI51" s="57"/>
      <c r="DJ51" s="57"/>
      <c r="DK51" s="57"/>
      <c r="DL51" s="57"/>
      <c r="DM51" s="57"/>
      <c r="DN51" s="57"/>
      <c r="DO51" s="57"/>
      <c r="DP51" s="57" t="s">
        <v>121</v>
      </c>
      <c r="DQ51" s="62"/>
      <c r="DR51" s="62"/>
      <c r="DS51" s="62"/>
      <c r="DT51" s="62"/>
      <c r="DU51" s="62"/>
      <c r="DV51" s="62"/>
      <c r="DW51" s="62" t="s">
        <v>274</v>
      </c>
      <c r="DX51" s="62" t="s">
        <v>274</v>
      </c>
      <c r="DY51" s="62" t="s">
        <v>274</v>
      </c>
      <c r="DZ51" s="62" t="s">
        <v>274</v>
      </c>
      <c r="EA51" s="57" t="s">
        <v>274</v>
      </c>
      <c r="EB51" s="56" t="s">
        <v>691</v>
      </c>
      <c r="EC51" s="57" t="s">
        <v>275</v>
      </c>
      <c r="ED51" s="56"/>
      <c r="EE51" s="56"/>
      <c r="EF51" s="56"/>
      <c r="EG51" s="56"/>
      <c r="EH51" s="58"/>
      <c r="EI51" s="86"/>
      <c r="EJ51" s="86"/>
    </row>
    <row r="52" spans="1:140" ht="39.6" x14ac:dyDescent="0.25">
      <c r="A52" s="91"/>
      <c r="B52" s="141" t="s">
        <v>697</v>
      </c>
      <c r="C52" s="56" t="s">
        <v>904</v>
      </c>
      <c r="D52" s="56" t="s">
        <v>811</v>
      </c>
      <c r="E52" s="56" t="s">
        <v>815</v>
      </c>
      <c r="F52" s="57" t="s">
        <v>279</v>
      </c>
      <c r="G52" s="57" t="s">
        <v>623</v>
      </c>
      <c r="H52" s="58"/>
      <c r="I52" s="57" t="s">
        <v>199</v>
      </c>
      <c r="J52" s="57"/>
      <c r="K52" s="57" t="s">
        <v>448</v>
      </c>
      <c r="L52" s="57"/>
      <c r="M52" s="57" t="s">
        <v>267</v>
      </c>
      <c r="N52" s="57"/>
      <c r="O52" s="57"/>
      <c r="P52" s="57"/>
      <c r="Q52" s="57" t="s">
        <v>271</v>
      </c>
      <c r="R52" s="57" t="s">
        <v>268</v>
      </c>
      <c r="S52" s="57" t="s">
        <v>269</v>
      </c>
      <c r="T52" s="57" t="s">
        <v>269</v>
      </c>
      <c r="U52" s="57" t="s">
        <v>271</v>
      </c>
      <c r="V52" s="57" t="s">
        <v>268</v>
      </c>
      <c r="W52" s="57" t="s">
        <v>269</v>
      </c>
      <c r="X52" s="58"/>
      <c r="Y52" s="59" t="s">
        <v>269</v>
      </c>
      <c r="Z52" s="59" t="s">
        <v>269</v>
      </c>
      <c r="AA52" s="57" t="s">
        <v>269</v>
      </c>
      <c r="AB52" s="59" t="s">
        <v>269</v>
      </c>
      <c r="AC52" s="59"/>
      <c r="AD52" s="59" t="s">
        <v>274</v>
      </c>
      <c r="AE52" s="57" t="s">
        <v>199</v>
      </c>
      <c r="AF52" s="58"/>
      <c r="AG52" s="57" t="s">
        <v>267</v>
      </c>
      <c r="AH52" s="57" t="s">
        <v>267</v>
      </c>
      <c r="AI52" s="57"/>
      <c r="AJ52" s="57"/>
      <c r="AK52" s="57"/>
      <c r="AL52" s="57" t="s">
        <v>267</v>
      </c>
      <c r="AM52" s="57" t="s">
        <v>267</v>
      </c>
      <c r="AN52" s="57" t="s">
        <v>267</v>
      </c>
      <c r="AO52" s="57" t="s">
        <v>267</v>
      </c>
      <c r="AP52" s="57"/>
      <c r="AQ52" s="57"/>
      <c r="AR52" s="57"/>
      <c r="AS52" s="57"/>
      <c r="AT52" s="57"/>
      <c r="AU52" s="57"/>
      <c r="AV52" s="57"/>
      <c r="AW52" s="57"/>
      <c r="AX52" s="57"/>
      <c r="AY52" s="57"/>
      <c r="AZ52" s="57"/>
      <c r="BA52" s="57"/>
      <c r="BB52" s="57"/>
      <c r="BC52" s="57"/>
      <c r="BD52" s="57"/>
      <c r="BE52" s="57"/>
      <c r="BF52" s="57"/>
      <c r="BG52" s="57"/>
      <c r="BH52" s="57"/>
      <c r="BI52" s="57"/>
      <c r="BJ52" s="57"/>
      <c r="BK52" s="57"/>
      <c r="BL52" s="57"/>
      <c r="BM52" s="57"/>
      <c r="BN52" s="57"/>
      <c r="BO52" s="57"/>
      <c r="BP52" s="57"/>
      <c r="BQ52" s="57"/>
      <c r="BR52" s="57"/>
      <c r="BS52" s="57"/>
      <c r="BT52" s="57"/>
      <c r="BU52" s="57"/>
      <c r="BV52" s="57"/>
      <c r="BW52" s="57"/>
      <c r="BX52" s="57"/>
      <c r="BY52" s="57"/>
      <c r="BZ52" s="57"/>
      <c r="CA52" s="57"/>
      <c r="CB52" s="57"/>
      <c r="CC52" s="57"/>
      <c r="CD52" s="57"/>
      <c r="CE52" s="57"/>
      <c r="CF52" s="57"/>
      <c r="CG52" s="57"/>
      <c r="CH52" s="57"/>
      <c r="CI52" s="57"/>
      <c r="CJ52" s="57"/>
      <c r="CK52" s="57"/>
      <c r="CL52" s="57"/>
      <c r="CM52" s="57"/>
      <c r="CN52" s="57"/>
      <c r="CO52" s="57"/>
      <c r="CP52" s="57"/>
      <c r="CQ52" s="57"/>
      <c r="CR52" s="57"/>
      <c r="CS52" s="57"/>
      <c r="CT52" s="57"/>
      <c r="CU52" s="57"/>
      <c r="CV52" s="57"/>
      <c r="CW52" s="57"/>
      <c r="CX52" s="57"/>
      <c r="CY52" s="57"/>
      <c r="CZ52" s="57"/>
      <c r="DA52" s="57"/>
      <c r="DB52" s="57"/>
      <c r="DC52" s="57"/>
      <c r="DD52" s="57"/>
      <c r="DE52" s="57"/>
      <c r="DF52" s="57"/>
      <c r="DG52" s="57"/>
      <c r="DH52" s="57"/>
      <c r="DI52" s="57"/>
      <c r="DJ52" s="57"/>
      <c r="DK52" s="57"/>
      <c r="DL52" s="57"/>
      <c r="DM52" s="57"/>
      <c r="DN52" s="57"/>
      <c r="DO52" s="57"/>
      <c r="DP52" s="57" t="s">
        <v>121</v>
      </c>
      <c r="DQ52" s="62"/>
      <c r="DR52" s="62"/>
      <c r="DS52" s="62"/>
      <c r="DT52" s="62"/>
      <c r="DU52" s="62"/>
      <c r="DV52" s="62"/>
      <c r="DW52" s="62" t="s">
        <v>274</v>
      </c>
      <c r="DX52" s="62" t="s">
        <v>274</v>
      </c>
      <c r="DY52" s="62" t="s">
        <v>274</v>
      </c>
      <c r="DZ52" s="62" t="s">
        <v>274</v>
      </c>
      <c r="EA52" s="57" t="s">
        <v>274</v>
      </c>
      <c r="EB52" s="56"/>
      <c r="EC52" s="57" t="s">
        <v>275</v>
      </c>
      <c r="ED52" s="56"/>
      <c r="EE52" s="56"/>
      <c r="EF52" s="56"/>
      <c r="EG52" s="56"/>
      <c r="EH52" s="58"/>
      <c r="EI52" s="86"/>
      <c r="EJ52" s="86"/>
    </row>
    <row r="53" spans="1:140" ht="76.5" customHeight="1" x14ac:dyDescent="0.25">
      <c r="A53" s="91"/>
      <c r="B53" s="141" t="s">
        <v>697</v>
      </c>
      <c r="C53" s="56" t="s">
        <v>904</v>
      </c>
      <c r="D53" s="56" t="s">
        <v>812</v>
      </c>
      <c r="E53" s="56" t="s">
        <v>814</v>
      </c>
      <c r="F53" s="57" t="s">
        <v>279</v>
      </c>
      <c r="G53" s="57" t="s">
        <v>623</v>
      </c>
      <c r="H53" s="58"/>
      <c r="I53" s="57" t="s">
        <v>199</v>
      </c>
      <c r="J53" s="57"/>
      <c r="K53" s="57" t="s">
        <v>448</v>
      </c>
      <c r="L53" s="57"/>
      <c r="M53" s="57" t="s">
        <v>267</v>
      </c>
      <c r="N53" s="57"/>
      <c r="O53" s="57"/>
      <c r="P53" s="57"/>
      <c r="Q53" s="57" t="s">
        <v>271</v>
      </c>
      <c r="R53" s="57" t="s">
        <v>268</v>
      </c>
      <c r="S53" s="57" t="s">
        <v>269</v>
      </c>
      <c r="T53" s="57" t="s">
        <v>269</v>
      </c>
      <c r="U53" s="57" t="s">
        <v>271</v>
      </c>
      <c r="V53" s="57" t="s">
        <v>268</v>
      </c>
      <c r="W53" s="57" t="s">
        <v>269</v>
      </c>
      <c r="X53" s="58"/>
      <c r="Y53" s="59" t="s">
        <v>269</v>
      </c>
      <c r="Z53" s="59" t="s">
        <v>269</v>
      </c>
      <c r="AA53" s="57" t="s">
        <v>269</v>
      </c>
      <c r="AB53" s="59" t="s">
        <v>269</v>
      </c>
      <c r="AC53" s="59"/>
      <c r="AD53" s="59" t="s">
        <v>274</v>
      </c>
      <c r="AE53" s="57" t="s">
        <v>199</v>
      </c>
      <c r="AF53" s="58"/>
      <c r="AG53" s="57" t="s">
        <v>267</v>
      </c>
      <c r="AH53" s="57" t="s">
        <v>267</v>
      </c>
      <c r="AI53" s="57"/>
      <c r="AJ53" s="57"/>
      <c r="AK53" s="57"/>
      <c r="AL53" s="57" t="s">
        <v>267</v>
      </c>
      <c r="AM53" s="57" t="s">
        <v>267</v>
      </c>
      <c r="AN53" s="57" t="s">
        <v>267</v>
      </c>
      <c r="AO53" s="57" t="s">
        <v>267</v>
      </c>
      <c r="AP53" s="57"/>
      <c r="AQ53" s="57"/>
      <c r="AR53" s="57"/>
      <c r="AS53" s="57"/>
      <c r="AT53" s="57"/>
      <c r="AU53" s="57"/>
      <c r="AV53" s="57"/>
      <c r="AW53" s="57"/>
      <c r="AX53" s="57"/>
      <c r="AY53" s="57"/>
      <c r="AZ53" s="57"/>
      <c r="BA53" s="57"/>
      <c r="BB53" s="57"/>
      <c r="BC53" s="57"/>
      <c r="BD53" s="57"/>
      <c r="BE53" s="57"/>
      <c r="BF53" s="57"/>
      <c r="BG53" s="57"/>
      <c r="BH53" s="57"/>
      <c r="BI53" s="57"/>
      <c r="BJ53" s="57"/>
      <c r="BK53" s="57"/>
      <c r="BL53" s="57"/>
      <c r="BM53" s="57"/>
      <c r="BN53" s="57"/>
      <c r="BO53" s="57"/>
      <c r="BP53" s="57"/>
      <c r="BQ53" s="57"/>
      <c r="BR53" s="57"/>
      <c r="BS53" s="57"/>
      <c r="BT53" s="57"/>
      <c r="BU53" s="57"/>
      <c r="BV53" s="57"/>
      <c r="BW53" s="57"/>
      <c r="BX53" s="57"/>
      <c r="BY53" s="57"/>
      <c r="BZ53" s="57"/>
      <c r="CA53" s="57"/>
      <c r="CB53" s="57"/>
      <c r="CC53" s="57"/>
      <c r="CD53" s="57"/>
      <c r="CE53" s="57"/>
      <c r="CF53" s="57"/>
      <c r="CG53" s="57"/>
      <c r="CH53" s="57"/>
      <c r="CI53" s="57"/>
      <c r="CJ53" s="57"/>
      <c r="CK53" s="57"/>
      <c r="CL53" s="57"/>
      <c r="CM53" s="57"/>
      <c r="CN53" s="57"/>
      <c r="CO53" s="57"/>
      <c r="CP53" s="57"/>
      <c r="CQ53" s="57"/>
      <c r="CR53" s="57"/>
      <c r="CS53" s="57"/>
      <c r="CT53" s="57"/>
      <c r="CU53" s="57"/>
      <c r="CV53" s="57"/>
      <c r="CW53" s="57"/>
      <c r="CX53" s="57"/>
      <c r="CY53" s="57"/>
      <c r="CZ53" s="57"/>
      <c r="DA53" s="57"/>
      <c r="DB53" s="57"/>
      <c r="DC53" s="57"/>
      <c r="DD53" s="57"/>
      <c r="DE53" s="57"/>
      <c r="DF53" s="57"/>
      <c r="DG53" s="57"/>
      <c r="DH53" s="57"/>
      <c r="DI53" s="57"/>
      <c r="DJ53" s="57"/>
      <c r="DK53" s="57"/>
      <c r="DL53" s="57"/>
      <c r="DM53" s="57"/>
      <c r="DN53" s="57"/>
      <c r="DO53" s="57"/>
      <c r="DP53" s="57" t="s">
        <v>121</v>
      </c>
      <c r="DQ53" s="62"/>
      <c r="DR53" s="62"/>
      <c r="DS53" s="62"/>
      <c r="DT53" s="62"/>
      <c r="DU53" s="62"/>
      <c r="DV53" s="62"/>
      <c r="DW53" s="62" t="s">
        <v>274</v>
      </c>
      <c r="DX53" s="62" t="s">
        <v>274</v>
      </c>
      <c r="DY53" s="62" t="s">
        <v>274</v>
      </c>
      <c r="DZ53" s="62" t="s">
        <v>274</v>
      </c>
      <c r="EA53" s="57" t="s">
        <v>274</v>
      </c>
      <c r="EB53" s="56"/>
      <c r="EC53" s="57" t="s">
        <v>275</v>
      </c>
      <c r="ED53" s="56"/>
      <c r="EE53" s="56"/>
      <c r="EF53" s="56"/>
      <c r="EG53" s="56"/>
      <c r="EH53" s="58"/>
      <c r="EI53" s="86"/>
      <c r="EJ53" s="86"/>
    </row>
    <row r="54" spans="1:140" ht="39.6" x14ac:dyDescent="0.25">
      <c r="A54" s="91"/>
      <c r="B54" s="141" t="s">
        <v>697</v>
      </c>
      <c r="C54" s="56" t="s">
        <v>904</v>
      </c>
      <c r="D54" s="56" t="s">
        <v>816</v>
      </c>
      <c r="E54" s="56" t="s">
        <v>817</v>
      </c>
      <c r="F54" s="57" t="s">
        <v>279</v>
      </c>
      <c r="G54" s="57" t="s">
        <v>623</v>
      </c>
      <c r="H54" s="58"/>
      <c r="I54" s="57" t="s">
        <v>199</v>
      </c>
      <c r="J54" s="57"/>
      <c r="K54" s="57" t="s">
        <v>448</v>
      </c>
      <c r="L54" s="57"/>
      <c r="M54" s="57" t="s">
        <v>267</v>
      </c>
      <c r="N54" s="57"/>
      <c r="O54" s="57"/>
      <c r="P54" s="57"/>
      <c r="Q54" s="57" t="s">
        <v>271</v>
      </c>
      <c r="R54" s="57" t="s">
        <v>268</v>
      </c>
      <c r="S54" s="57" t="s">
        <v>269</v>
      </c>
      <c r="T54" s="57" t="s">
        <v>269</v>
      </c>
      <c r="U54" s="57" t="s">
        <v>271</v>
      </c>
      <c r="V54" s="57" t="s">
        <v>268</v>
      </c>
      <c r="W54" s="57" t="s">
        <v>269</v>
      </c>
      <c r="X54" s="58"/>
      <c r="Y54" s="59" t="s">
        <v>269</v>
      </c>
      <c r="Z54" s="59" t="s">
        <v>269</v>
      </c>
      <c r="AA54" s="57" t="s">
        <v>269</v>
      </c>
      <c r="AB54" s="59" t="s">
        <v>269</v>
      </c>
      <c r="AC54" s="59"/>
      <c r="AD54" s="59" t="s">
        <v>274</v>
      </c>
      <c r="AE54" s="57" t="s">
        <v>199</v>
      </c>
      <c r="AF54" s="58"/>
      <c r="AG54" s="57" t="s">
        <v>267</v>
      </c>
      <c r="AH54" s="57" t="s">
        <v>267</v>
      </c>
      <c r="AI54" s="57"/>
      <c r="AJ54" s="57"/>
      <c r="AK54" s="57"/>
      <c r="AL54" s="57" t="s">
        <v>267</v>
      </c>
      <c r="AM54" s="57" t="s">
        <v>267</v>
      </c>
      <c r="AN54" s="57" t="s">
        <v>267</v>
      </c>
      <c r="AO54" s="57" t="s">
        <v>267</v>
      </c>
      <c r="AP54" s="57"/>
      <c r="AQ54" s="57"/>
      <c r="AR54" s="57"/>
      <c r="AS54" s="57"/>
      <c r="AT54" s="57"/>
      <c r="AU54" s="57"/>
      <c r="AV54" s="57"/>
      <c r="AW54" s="57"/>
      <c r="AX54" s="57"/>
      <c r="AY54" s="57"/>
      <c r="AZ54" s="57"/>
      <c r="BA54" s="57"/>
      <c r="BB54" s="57"/>
      <c r="BC54" s="57"/>
      <c r="BD54" s="57"/>
      <c r="BE54" s="57"/>
      <c r="BF54" s="57"/>
      <c r="BG54" s="57"/>
      <c r="BH54" s="57"/>
      <c r="BI54" s="57"/>
      <c r="BJ54" s="57"/>
      <c r="BK54" s="57"/>
      <c r="BL54" s="57"/>
      <c r="BM54" s="57"/>
      <c r="BN54" s="57"/>
      <c r="BO54" s="57"/>
      <c r="BP54" s="57"/>
      <c r="BQ54" s="57"/>
      <c r="BR54" s="57"/>
      <c r="BS54" s="57"/>
      <c r="BT54" s="57"/>
      <c r="BU54" s="57"/>
      <c r="BV54" s="57"/>
      <c r="BW54" s="57"/>
      <c r="BX54" s="57"/>
      <c r="BY54" s="57"/>
      <c r="BZ54" s="57"/>
      <c r="CA54" s="57"/>
      <c r="CB54" s="57"/>
      <c r="CC54" s="57"/>
      <c r="CD54" s="57"/>
      <c r="CE54" s="57"/>
      <c r="CF54" s="57"/>
      <c r="CG54" s="57"/>
      <c r="CH54" s="57"/>
      <c r="CI54" s="57"/>
      <c r="CJ54" s="57"/>
      <c r="CK54" s="57"/>
      <c r="CL54" s="57"/>
      <c r="CM54" s="57"/>
      <c r="CN54" s="57"/>
      <c r="CO54" s="57"/>
      <c r="CP54" s="57"/>
      <c r="CQ54" s="57"/>
      <c r="CR54" s="57"/>
      <c r="CS54" s="57"/>
      <c r="CT54" s="57"/>
      <c r="CU54" s="57"/>
      <c r="CV54" s="57"/>
      <c r="CW54" s="57"/>
      <c r="CX54" s="57"/>
      <c r="CY54" s="57"/>
      <c r="CZ54" s="57"/>
      <c r="DA54" s="57"/>
      <c r="DB54" s="57"/>
      <c r="DC54" s="57"/>
      <c r="DD54" s="57"/>
      <c r="DE54" s="57"/>
      <c r="DF54" s="57"/>
      <c r="DG54" s="57"/>
      <c r="DH54" s="57"/>
      <c r="DI54" s="57"/>
      <c r="DJ54" s="57"/>
      <c r="DK54" s="57"/>
      <c r="DL54" s="57"/>
      <c r="DM54" s="57"/>
      <c r="DN54" s="57"/>
      <c r="DO54" s="57"/>
      <c r="DP54" s="57" t="s">
        <v>121</v>
      </c>
      <c r="DQ54" s="62"/>
      <c r="DR54" s="62"/>
      <c r="DS54" s="62"/>
      <c r="DT54" s="62"/>
      <c r="DU54" s="62"/>
      <c r="DV54" s="62"/>
      <c r="DW54" s="62" t="s">
        <v>274</v>
      </c>
      <c r="DX54" s="62" t="s">
        <v>274</v>
      </c>
      <c r="DY54" s="62" t="s">
        <v>274</v>
      </c>
      <c r="DZ54" s="62" t="s">
        <v>274</v>
      </c>
      <c r="EA54" s="57" t="s">
        <v>274</v>
      </c>
      <c r="EB54" s="56"/>
      <c r="EC54" s="57" t="s">
        <v>275</v>
      </c>
      <c r="ED54" s="56"/>
      <c r="EE54" s="56"/>
      <c r="EF54" s="56"/>
      <c r="EG54" s="56"/>
      <c r="EH54" s="58"/>
      <c r="EI54" s="86"/>
      <c r="EJ54" s="86"/>
    </row>
    <row r="55" spans="1:140" ht="39.6" hidden="1" outlineLevel="1" x14ac:dyDescent="0.25">
      <c r="A55" s="91"/>
      <c r="B55" s="124" t="s">
        <v>697</v>
      </c>
      <c r="C55" s="56" t="s">
        <v>698</v>
      </c>
      <c r="D55" s="56" t="s">
        <v>700</v>
      </c>
      <c r="E55" s="56" t="s">
        <v>699</v>
      </c>
      <c r="F55" s="57" t="s">
        <v>701</v>
      </c>
      <c r="G55" s="57" t="s">
        <v>623</v>
      </c>
      <c r="H55" s="58"/>
      <c r="I55" s="57" t="s">
        <v>206</v>
      </c>
      <c r="J55" s="57" t="s">
        <v>206</v>
      </c>
      <c r="K55" s="57" t="s">
        <v>196</v>
      </c>
      <c r="L55" s="57"/>
      <c r="M55" s="57" t="s">
        <v>267</v>
      </c>
      <c r="N55" s="57" t="s">
        <v>267</v>
      </c>
      <c r="O55" s="57" t="s">
        <v>669</v>
      </c>
      <c r="P55" s="57"/>
      <c r="Q55" s="57" t="s">
        <v>269</v>
      </c>
      <c r="R55" s="57" t="s">
        <v>269</v>
      </c>
      <c r="S55" s="57" t="s">
        <v>268</v>
      </c>
      <c r="T55" s="57" t="s">
        <v>269</v>
      </c>
      <c r="U55" s="57" t="s">
        <v>269</v>
      </c>
      <c r="V55" s="57" t="s">
        <v>271</v>
      </c>
      <c r="W55" s="57" t="s">
        <v>271</v>
      </c>
      <c r="X55" s="58" t="s">
        <v>314</v>
      </c>
      <c r="Y55" s="59" t="s">
        <v>272</v>
      </c>
      <c r="Z55" s="59" t="s">
        <v>269</v>
      </c>
      <c r="AA55" s="57" t="s">
        <v>271</v>
      </c>
      <c r="AB55" s="59" t="s">
        <v>272</v>
      </c>
      <c r="AC55" s="59"/>
      <c r="AD55" s="59" t="s">
        <v>274</v>
      </c>
      <c r="AE55" s="57" t="s">
        <v>206</v>
      </c>
      <c r="AF55" s="58"/>
      <c r="AG55" s="57" t="s">
        <v>267</v>
      </c>
      <c r="AH55" s="57"/>
      <c r="AI55" s="57" t="s">
        <v>267</v>
      </c>
      <c r="AJ55" s="57" t="s">
        <v>267</v>
      </c>
      <c r="AK55" s="57"/>
      <c r="AL55" s="57" t="s">
        <v>267</v>
      </c>
      <c r="AM55" s="57" t="s">
        <v>267</v>
      </c>
      <c r="AN55" s="57" t="s">
        <v>267</v>
      </c>
      <c r="AO55" s="57" t="s">
        <v>267</v>
      </c>
      <c r="AP55" s="57" t="s">
        <v>267</v>
      </c>
      <c r="AQ55" s="57"/>
      <c r="AR55" s="57"/>
      <c r="AS55" s="57"/>
      <c r="AT55" s="57" t="s">
        <v>267</v>
      </c>
      <c r="AU55" s="57" t="s">
        <v>267</v>
      </c>
      <c r="AV55" s="57"/>
      <c r="AW55" s="57"/>
      <c r="AX55" s="57"/>
      <c r="AY55" s="57"/>
      <c r="AZ55" s="57"/>
      <c r="BA55" s="57"/>
      <c r="BB55" s="57" t="s">
        <v>267</v>
      </c>
      <c r="BC55" s="57"/>
      <c r="BD55" s="57"/>
      <c r="BE55" s="57"/>
      <c r="BF55" s="57"/>
      <c r="BG55" s="57"/>
      <c r="BH55" s="57"/>
      <c r="BI55" s="57" t="s">
        <v>267</v>
      </c>
      <c r="BJ55" s="57"/>
      <c r="BK55" s="57"/>
      <c r="BL55" s="57"/>
      <c r="BM55" s="57"/>
      <c r="BN55" s="57"/>
      <c r="BO55" s="57" t="s">
        <v>267</v>
      </c>
      <c r="BP55" s="57"/>
      <c r="BQ55" s="57"/>
      <c r="BR55" s="57"/>
      <c r="BS55" s="57"/>
      <c r="BT55" s="57"/>
      <c r="BU55" s="57"/>
      <c r="BV55" s="57" t="s">
        <v>267</v>
      </c>
      <c r="BW55" s="57"/>
      <c r="BX55" s="57"/>
      <c r="BY55" s="57"/>
      <c r="BZ55" s="57" t="s">
        <v>267</v>
      </c>
      <c r="CA55" s="57"/>
      <c r="CB55" s="57"/>
      <c r="CC55" s="57"/>
      <c r="CD55" s="57"/>
      <c r="CE55" s="57"/>
      <c r="CF55" s="57"/>
      <c r="CG55" s="57"/>
      <c r="CH55" s="57"/>
      <c r="CI55" s="57"/>
      <c r="CJ55" s="57"/>
      <c r="CK55" s="57"/>
      <c r="CL55" s="57"/>
      <c r="CM55" s="57"/>
      <c r="CN55" s="57" t="s">
        <v>267</v>
      </c>
      <c r="CO55" s="57"/>
      <c r="CP55" s="57"/>
      <c r="CQ55" s="57"/>
      <c r="CR55" s="57"/>
      <c r="CS55" s="57"/>
      <c r="CT55" s="57"/>
      <c r="CU55" s="57" t="s">
        <v>267</v>
      </c>
      <c r="CV55" s="57"/>
      <c r="CW55" s="57"/>
      <c r="CX55" s="57"/>
      <c r="CY55" s="57" t="s">
        <v>267</v>
      </c>
      <c r="CZ55" s="57"/>
      <c r="DA55" s="57"/>
      <c r="DB55" s="57"/>
      <c r="DC55" s="57"/>
      <c r="DD55" s="57"/>
      <c r="DE55" s="57"/>
      <c r="DF55" s="57"/>
      <c r="DG55" s="57"/>
      <c r="DH55" s="57"/>
      <c r="DI55" s="57"/>
      <c r="DJ55" s="57"/>
      <c r="DK55" s="57"/>
      <c r="DL55" s="57"/>
      <c r="DM55" s="57"/>
      <c r="DN55" s="57" t="s">
        <v>267</v>
      </c>
      <c r="DO55" s="57"/>
      <c r="DP55" s="57" t="s">
        <v>220</v>
      </c>
      <c r="DQ55" s="57"/>
      <c r="DR55" s="57"/>
      <c r="DS55" s="57"/>
      <c r="DT55" s="57"/>
      <c r="DU55" s="57"/>
      <c r="DV55" s="57"/>
      <c r="DW55" s="57" t="s">
        <v>274</v>
      </c>
      <c r="DX55" s="57" t="s">
        <v>274</v>
      </c>
      <c r="DY55" s="57" t="s">
        <v>274</v>
      </c>
      <c r="DZ55" s="57" t="s">
        <v>275</v>
      </c>
      <c r="EA55" s="57" t="s">
        <v>274</v>
      </c>
      <c r="EB55" s="56"/>
      <c r="EC55" s="57"/>
      <c r="ED55" s="56"/>
      <c r="EE55" s="56"/>
      <c r="EF55" s="56"/>
      <c r="EG55" s="56"/>
      <c r="EH55" s="58"/>
      <c r="EI55" s="86"/>
      <c r="EJ55" s="86"/>
    </row>
    <row r="56" spans="1:140" ht="39.6" hidden="1" outlineLevel="1" x14ac:dyDescent="0.25">
      <c r="A56" s="91"/>
      <c r="B56" s="124" t="s">
        <v>697</v>
      </c>
      <c r="C56" s="56" t="s">
        <v>698</v>
      </c>
      <c r="D56" s="56" t="s">
        <v>702</v>
      </c>
      <c r="E56" s="56"/>
      <c r="F56" s="57" t="s">
        <v>701</v>
      </c>
      <c r="G56" s="57" t="s">
        <v>623</v>
      </c>
      <c r="H56" s="58"/>
      <c r="I56" s="57" t="s">
        <v>206</v>
      </c>
      <c r="J56" s="57" t="s">
        <v>206</v>
      </c>
      <c r="K56" s="57" t="s">
        <v>196</v>
      </c>
      <c r="L56" s="57"/>
      <c r="M56" s="57" t="s">
        <v>267</v>
      </c>
      <c r="N56" s="57" t="s">
        <v>267</v>
      </c>
      <c r="O56" s="57" t="s">
        <v>669</v>
      </c>
      <c r="P56" s="57"/>
      <c r="Q56" s="57" t="s">
        <v>269</v>
      </c>
      <c r="R56" s="57" t="s">
        <v>269</v>
      </c>
      <c r="S56" s="57" t="s">
        <v>268</v>
      </c>
      <c r="T56" s="57" t="s">
        <v>269</v>
      </c>
      <c r="U56" s="57" t="s">
        <v>269</v>
      </c>
      <c r="V56" s="57" t="s">
        <v>271</v>
      </c>
      <c r="W56" s="57" t="s">
        <v>271</v>
      </c>
      <c r="X56" s="58" t="s">
        <v>314</v>
      </c>
      <c r="Y56" s="59" t="s">
        <v>272</v>
      </c>
      <c r="Z56" s="59" t="s">
        <v>269</v>
      </c>
      <c r="AA56" s="57" t="s">
        <v>271</v>
      </c>
      <c r="AB56" s="59" t="s">
        <v>272</v>
      </c>
      <c r="AC56" s="59"/>
      <c r="AD56" s="59" t="s">
        <v>274</v>
      </c>
      <c r="AE56" s="57" t="s">
        <v>206</v>
      </c>
      <c r="AF56" s="58"/>
      <c r="AG56" s="57" t="s">
        <v>267</v>
      </c>
      <c r="AH56" s="57"/>
      <c r="AI56" s="57" t="s">
        <v>267</v>
      </c>
      <c r="AJ56" s="57" t="s">
        <v>267</v>
      </c>
      <c r="AK56" s="57"/>
      <c r="AL56" s="57" t="s">
        <v>267</v>
      </c>
      <c r="AM56" s="57" t="s">
        <v>267</v>
      </c>
      <c r="AN56" s="57" t="s">
        <v>267</v>
      </c>
      <c r="AO56" s="57" t="s">
        <v>267</v>
      </c>
      <c r="AP56" s="57" t="s">
        <v>267</v>
      </c>
      <c r="AQ56" s="57"/>
      <c r="AR56" s="57"/>
      <c r="AS56" s="57"/>
      <c r="AT56" s="57" t="s">
        <v>267</v>
      </c>
      <c r="AU56" s="57" t="s">
        <v>267</v>
      </c>
      <c r="AV56" s="57"/>
      <c r="AW56" s="57"/>
      <c r="AX56" s="57"/>
      <c r="AY56" s="57"/>
      <c r="AZ56" s="57"/>
      <c r="BA56" s="57"/>
      <c r="BB56" s="57" t="s">
        <v>267</v>
      </c>
      <c r="BC56" s="57"/>
      <c r="BD56" s="57"/>
      <c r="BE56" s="57"/>
      <c r="BF56" s="57"/>
      <c r="BG56" s="57"/>
      <c r="BH56" s="57"/>
      <c r="BI56" s="57" t="s">
        <v>267</v>
      </c>
      <c r="BJ56" s="57"/>
      <c r="BK56" s="57"/>
      <c r="BL56" s="57"/>
      <c r="BM56" s="57"/>
      <c r="BN56" s="57"/>
      <c r="BO56" s="57" t="s">
        <v>267</v>
      </c>
      <c r="BP56" s="57"/>
      <c r="BQ56" s="57"/>
      <c r="BR56" s="57"/>
      <c r="BS56" s="57"/>
      <c r="BT56" s="57"/>
      <c r="BU56" s="57"/>
      <c r="BV56" s="57" t="s">
        <v>267</v>
      </c>
      <c r="BW56" s="57"/>
      <c r="BX56" s="57"/>
      <c r="BY56" s="57"/>
      <c r="BZ56" s="57" t="s">
        <v>267</v>
      </c>
      <c r="CA56" s="57"/>
      <c r="CB56" s="57"/>
      <c r="CC56" s="57"/>
      <c r="CD56" s="57"/>
      <c r="CE56" s="57"/>
      <c r="CF56" s="57"/>
      <c r="CG56" s="57"/>
      <c r="CH56" s="57"/>
      <c r="CI56" s="57"/>
      <c r="CJ56" s="57"/>
      <c r="CK56" s="57"/>
      <c r="CL56" s="57"/>
      <c r="CM56" s="57"/>
      <c r="CN56" s="57" t="s">
        <v>267</v>
      </c>
      <c r="CO56" s="57"/>
      <c r="CP56" s="57"/>
      <c r="CQ56" s="57"/>
      <c r="CR56" s="57"/>
      <c r="CS56" s="57"/>
      <c r="CT56" s="57"/>
      <c r="CU56" s="57" t="s">
        <v>267</v>
      </c>
      <c r="CV56" s="57"/>
      <c r="CW56" s="57"/>
      <c r="CX56" s="57"/>
      <c r="CY56" s="57" t="s">
        <v>267</v>
      </c>
      <c r="CZ56" s="57"/>
      <c r="DA56" s="57"/>
      <c r="DB56" s="57"/>
      <c r="DC56" s="57"/>
      <c r="DD56" s="57"/>
      <c r="DE56" s="57"/>
      <c r="DF56" s="57"/>
      <c r="DG56" s="57"/>
      <c r="DH56" s="57"/>
      <c r="DI56" s="57"/>
      <c r="DJ56" s="57"/>
      <c r="DK56" s="57"/>
      <c r="DL56" s="57"/>
      <c r="DM56" s="57"/>
      <c r="DN56" s="57" t="s">
        <v>267</v>
      </c>
      <c r="DO56" s="57"/>
      <c r="DP56" s="57" t="s">
        <v>220</v>
      </c>
      <c r="DQ56" s="57"/>
      <c r="DR56" s="57"/>
      <c r="DS56" s="57"/>
      <c r="DT56" s="57"/>
      <c r="DU56" s="57"/>
      <c r="DV56" s="57"/>
      <c r="DW56" s="57" t="s">
        <v>274</v>
      </c>
      <c r="DX56" s="57" t="s">
        <v>274</v>
      </c>
      <c r="DY56" s="57" t="s">
        <v>274</v>
      </c>
      <c r="DZ56" s="57" t="s">
        <v>275</v>
      </c>
      <c r="EA56" s="57" t="s">
        <v>274</v>
      </c>
      <c r="EB56" s="56"/>
      <c r="EC56" s="57"/>
      <c r="ED56" s="56"/>
      <c r="EE56" s="56"/>
      <c r="EF56" s="56"/>
      <c r="EG56" s="56"/>
      <c r="EH56" s="58"/>
      <c r="EI56" s="86"/>
      <c r="EJ56" s="86"/>
    </row>
    <row r="57" spans="1:140" ht="39.6" hidden="1" outlineLevel="1" x14ac:dyDescent="0.25">
      <c r="A57" s="91"/>
      <c r="B57" s="124" t="s">
        <v>697</v>
      </c>
      <c r="C57" s="56" t="s">
        <v>698</v>
      </c>
      <c r="D57" s="56" t="s">
        <v>703</v>
      </c>
      <c r="E57" s="56"/>
      <c r="F57" s="57" t="s">
        <v>701</v>
      </c>
      <c r="G57" s="57" t="s">
        <v>623</v>
      </c>
      <c r="H57" s="58"/>
      <c r="I57" s="57" t="s">
        <v>206</v>
      </c>
      <c r="J57" s="57" t="s">
        <v>206</v>
      </c>
      <c r="K57" s="57" t="s">
        <v>196</v>
      </c>
      <c r="L57" s="57"/>
      <c r="M57" s="57" t="s">
        <v>267</v>
      </c>
      <c r="N57" s="57" t="s">
        <v>267</v>
      </c>
      <c r="O57" s="57" t="s">
        <v>669</v>
      </c>
      <c r="P57" s="57"/>
      <c r="Q57" s="57" t="s">
        <v>269</v>
      </c>
      <c r="R57" s="57" t="s">
        <v>269</v>
      </c>
      <c r="S57" s="57" t="s">
        <v>268</v>
      </c>
      <c r="T57" s="57" t="s">
        <v>269</v>
      </c>
      <c r="U57" s="57" t="s">
        <v>269</v>
      </c>
      <c r="V57" s="57" t="s">
        <v>271</v>
      </c>
      <c r="W57" s="57" t="s">
        <v>271</v>
      </c>
      <c r="X57" s="58" t="s">
        <v>314</v>
      </c>
      <c r="Y57" s="59" t="s">
        <v>272</v>
      </c>
      <c r="Z57" s="59" t="s">
        <v>269</v>
      </c>
      <c r="AA57" s="57" t="s">
        <v>271</v>
      </c>
      <c r="AB57" s="59" t="s">
        <v>272</v>
      </c>
      <c r="AC57" s="59"/>
      <c r="AD57" s="59" t="s">
        <v>274</v>
      </c>
      <c r="AE57" s="57" t="s">
        <v>206</v>
      </c>
      <c r="AF57" s="58"/>
      <c r="AG57" s="57" t="s">
        <v>267</v>
      </c>
      <c r="AH57" s="57"/>
      <c r="AI57" s="57" t="s">
        <v>267</v>
      </c>
      <c r="AJ57" s="57" t="s">
        <v>267</v>
      </c>
      <c r="AK57" s="57"/>
      <c r="AL57" s="57" t="s">
        <v>267</v>
      </c>
      <c r="AM57" s="57" t="s">
        <v>267</v>
      </c>
      <c r="AN57" s="57" t="s">
        <v>267</v>
      </c>
      <c r="AO57" s="57" t="s">
        <v>267</v>
      </c>
      <c r="AP57" s="57" t="s">
        <v>267</v>
      </c>
      <c r="AQ57" s="57"/>
      <c r="AR57" s="57"/>
      <c r="AS57" s="57"/>
      <c r="AT57" s="57" t="s">
        <v>267</v>
      </c>
      <c r="AU57" s="57" t="s">
        <v>267</v>
      </c>
      <c r="AV57" s="57"/>
      <c r="AW57" s="57"/>
      <c r="AX57" s="57"/>
      <c r="AY57" s="57"/>
      <c r="AZ57" s="57"/>
      <c r="BA57" s="57"/>
      <c r="BB57" s="57" t="s">
        <v>267</v>
      </c>
      <c r="BC57" s="57"/>
      <c r="BD57" s="57"/>
      <c r="BE57" s="57"/>
      <c r="BF57" s="57"/>
      <c r="BG57" s="57"/>
      <c r="BH57" s="57"/>
      <c r="BI57" s="57" t="s">
        <v>267</v>
      </c>
      <c r="BJ57" s="57"/>
      <c r="BK57" s="57"/>
      <c r="BL57" s="57"/>
      <c r="BM57" s="57"/>
      <c r="BN57" s="57"/>
      <c r="BO57" s="57" t="s">
        <v>267</v>
      </c>
      <c r="BP57" s="57"/>
      <c r="BQ57" s="57"/>
      <c r="BR57" s="57"/>
      <c r="BS57" s="57"/>
      <c r="BT57" s="57"/>
      <c r="BU57" s="57"/>
      <c r="BV57" s="57" t="s">
        <v>267</v>
      </c>
      <c r="BW57" s="57"/>
      <c r="BX57" s="57"/>
      <c r="BY57" s="57"/>
      <c r="BZ57" s="57" t="s">
        <v>267</v>
      </c>
      <c r="CA57" s="57"/>
      <c r="CB57" s="57"/>
      <c r="CC57" s="57"/>
      <c r="CD57" s="57"/>
      <c r="CE57" s="57"/>
      <c r="CF57" s="57"/>
      <c r="CG57" s="57"/>
      <c r="CH57" s="57"/>
      <c r="CI57" s="57"/>
      <c r="CJ57" s="57"/>
      <c r="CK57" s="57"/>
      <c r="CL57" s="57"/>
      <c r="CM57" s="57"/>
      <c r="CN57" s="57" t="s">
        <v>267</v>
      </c>
      <c r="CO57" s="57"/>
      <c r="CP57" s="57"/>
      <c r="CQ57" s="57"/>
      <c r="CR57" s="57"/>
      <c r="CS57" s="57"/>
      <c r="CT57" s="57"/>
      <c r="CU57" s="57" t="s">
        <v>267</v>
      </c>
      <c r="CV57" s="57"/>
      <c r="CW57" s="57"/>
      <c r="CX57" s="57"/>
      <c r="CY57" s="57" t="s">
        <v>267</v>
      </c>
      <c r="CZ57" s="57"/>
      <c r="DA57" s="57"/>
      <c r="DB57" s="57"/>
      <c r="DC57" s="57"/>
      <c r="DD57" s="57"/>
      <c r="DE57" s="57"/>
      <c r="DF57" s="57"/>
      <c r="DG57" s="57"/>
      <c r="DH57" s="57"/>
      <c r="DI57" s="57"/>
      <c r="DJ57" s="57"/>
      <c r="DK57" s="57"/>
      <c r="DL57" s="57"/>
      <c r="DM57" s="57"/>
      <c r="DN57" s="57" t="s">
        <v>267</v>
      </c>
      <c r="DO57" s="57"/>
      <c r="DP57" s="57" t="s">
        <v>220</v>
      </c>
      <c r="DQ57" s="57"/>
      <c r="DR57" s="57"/>
      <c r="DS57" s="57"/>
      <c r="DT57" s="57"/>
      <c r="DU57" s="57"/>
      <c r="DV57" s="57"/>
      <c r="DW57" s="57" t="s">
        <v>274</v>
      </c>
      <c r="DX57" s="57" t="s">
        <v>274</v>
      </c>
      <c r="DY57" s="57" t="s">
        <v>274</v>
      </c>
      <c r="DZ57" s="57" t="s">
        <v>275</v>
      </c>
      <c r="EA57" s="57" t="s">
        <v>274</v>
      </c>
      <c r="EB57" s="56"/>
      <c r="EC57" s="57"/>
      <c r="ED57" s="56"/>
      <c r="EE57" s="56"/>
      <c r="EF57" s="56"/>
      <c r="EG57" s="56"/>
      <c r="EH57" s="58"/>
      <c r="EI57" s="86"/>
      <c r="EJ57" s="86"/>
    </row>
    <row r="58" spans="1:140" ht="66" hidden="1" outlineLevel="1" x14ac:dyDescent="0.25">
      <c r="A58" s="91"/>
      <c r="B58" s="142" t="s">
        <v>697</v>
      </c>
      <c r="C58" s="56" t="s">
        <v>709</v>
      </c>
      <c r="D58" s="56" t="s">
        <v>165</v>
      </c>
      <c r="E58" s="56" t="s">
        <v>385</v>
      </c>
      <c r="F58" s="57" t="s">
        <v>279</v>
      </c>
      <c r="G58" s="57" t="s">
        <v>623</v>
      </c>
      <c r="H58" s="58"/>
      <c r="I58" s="57" t="s">
        <v>196</v>
      </c>
      <c r="J58" s="57" t="s">
        <v>196</v>
      </c>
      <c r="K58" s="57" t="s">
        <v>196</v>
      </c>
      <c r="L58" s="57" t="s">
        <v>382</v>
      </c>
      <c r="M58" s="58"/>
      <c r="N58" s="62" t="s">
        <v>267</v>
      </c>
      <c r="O58" s="57"/>
      <c r="P58" s="57"/>
      <c r="Q58" s="57" t="s">
        <v>272</v>
      </c>
      <c r="R58" s="57" t="s">
        <v>269</v>
      </c>
      <c r="S58" s="57" t="s">
        <v>272</v>
      </c>
      <c r="T58" s="57" t="s">
        <v>272</v>
      </c>
      <c r="U58" s="57" t="s">
        <v>269</v>
      </c>
      <c r="V58" s="62" t="s">
        <v>272</v>
      </c>
      <c r="W58" s="62" t="s">
        <v>272</v>
      </c>
      <c r="X58" s="63" t="s">
        <v>295</v>
      </c>
      <c r="Y58" s="64" t="s">
        <v>271</v>
      </c>
      <c r="Z58" s="64" t="s">
        <v>271</v>
      </c>
      <c r="AA58" s="62" t="s">
        <v>272</v>
      </c>
      <c r="AB58" s="59" t="s">
        <v>272</v>
      </c>
      <c r="AC58" s="59"/>
      <c r="AD58" s="59" t="s">
        <v>274</v>
      </c>
      <c r="AE58" s="57"/>
      <c r="AF58" s="63" t="s">
        <v>383</v>
      </c>
      <c r="AG58" s="62" t="s">
        <v>267</v>
      </c>
      <c r="AH58" s="62" t="s">
        <v>267</v>
      </c>
      <c r="AI58" s="62" t="s">
        <v>267</v>
      </c>
      <c r="AJ58" s="62" t="s">
        <v>267</v>
      </c>
      <c r="AK58" s="62"/>
      <c r="AL58" s="62" t="s">
        <v>267</v>
      </c>
      <c r="AM58" s="62" t="s">
        <v>267</v>
      </c>
      <c r="AN58" s="62" t="s">
        <v>267</v>
      </c>
      <c r="AO58" s="62" t="s">
        <v>267</v>
      </c>
      <c r="AP58" s="62"/>
      <c r="AQ58" s="62"/>
      <c r="AR58" s="62"/>
      <c r="AS58" s="62"/>
      <c r="AT58" s="62"/>
      <c r="AU58" s="62"/>
      <c r="AV58" s="62"/>
      <c r="AW58" s="62"/>
      <c r="AX58" s="62"/>
      <c r="AY58" s="62"/>
      <c r="AZ58" s="62"/>
      <c r="BA58" s="62"/>
      <c r="BB58" s="62"/>
      <c r="BC58" s="62"/>
      <c r="BD58" s="62"/>
      <c r="BE58" s="62"/>
      <c r="BF58" s="62"/>
      <c r="BG58" s="62"/>
      <c r="BH58" s="62"/>
      <c r="BI58" s="62"/>
      <c r="BJ58" s="62"/>
      <c r="BK58" s="62"/>
      <c r="BL58" s="62"/>
      <c r="BM58" s="62"/>
      <c r="BN58" s="62"/>
      <c r="BO58" s="62" t="s">
        <v>267</v>
      </c>
      <c r="BP58" s="62"/>
      <c r="BQ58" s="62"/>
      <c r="BR58" s="62"/>
      <c r="BS58" s="62"/>
      <c r="BT58" s="62"/>
      <c r="BU58" s="62"/>
      <c r="BV58" s="62"/>
      <c r="BW58" s="62"/>
      <c r="BX58" s="62"/>
      <c r="BY58" s="62"/>
      <c r="BZ58" s="62" t="s">
        <v>267</v>
      </c>
      <c r="CA58" s="62"/>
      <c r="CB58" s="62"/>
      <c r="CC58" s="62"/>
      <c r="CD58" s="62"/>
      <c r="CE58" s="62"/>
      <c r="CF58" s="62"/>
      <c r="CG58" s="62"/>
      <c r="CH58" s="62"/>
      <c r="CI58" s="62"/>
      <c r="CJ58" s="62"/>
      <c r="CK58" s="62"/>
      <c r="CL58" s="62"/>
      <c r="CM58" s="62"/>
      <c r="CN58" s="62" t="s">
        <v>267</v>
      </c>
      <c r="CO58" s="62"/>
      <c r="CP58" s="62"/>
      <c r="CQ58" s="62"/>
      <c r="CR58" s="62"/>
      <c r="CS58" s="62"/>
      <c r="CT58" s="62"/>
      <c r="CU58" s="62"/>
      <c r="CV58" s="62"/>
      <c r="CW58" s="62"/>
      <c r="CX58" s="62"/>
      <c r="CY58" s="62" t="s">
        <v>267</v>
      </c>
      <c r="CZ58" s="62"/>
      <c r="DA58" s="62"/>
      <c r="DB58" s="62"/>
      <c r="DC58" s="62"/>
      <c r="DD58" s="62"/>
      <c r="DE58" s="62"/>
      <c r="DF58" s="62"/>
      <c r="DG58" s="62"/>
      <c r="DH58" s="62"/>
      <c r="DI58" s="62"/>
      <c r="DJ58" s="62"/>
      <c r="DK58" s="62"/>
      <c r="DL58" s="62"/>
      <c r="DM58" s="62"/>
      <c r="DN58" s="62" t="s">
        <v>267</v>
      </c>
      <c r="DO58" s="62"/>
      <c r="DP58" s="62" t="s">
        <v>225</v>
      </c>
      <c r="DQ58" s="62"/>
      <c r="DR58" s="62"/>
      <c r="DS58" s="62"/>
      <c r="DT58" s="62"/>
      <c r="DU58" s="62"/>
      <c r="DV58" s="62"/>
      <c r="DW58" s="62" t="s">
        <v>274</v>
      </c>
      <c r="DX58" s="62" t="s">
        <v>274</v>
      </c>
      <c r="DY58" s="62" t="s">
        <v>274</v>
      </c>
      <c r="DZ58" s="62" t="s">
        <v>274</v>
      </c>
      <c r="EA58" s="62" t="s">
        <v>274</v>
      </c>
      <c r="EB58" s="65"/>
      <c r="EC58" s="62"/>
      <c r="ED58" s="56"/>
      <c r="EE58" s="56"/>
      <c r="EF58" s="56"/>
      <c r="EG58" s="56"/>
      <c r="EH58" s="58"/>
      <c r="EI58" s="86"/>
      <c r="EJ58" s="86"/>
    </row>
    <row r="59" spans="1:140" ht="39.6" hidden="1" outlineLevel="1" x14ac:dyDescent="0.25">
      <c r="A59" s="91"/>
      <c r="B59" s="142" t="s">
        <v>697</v>
      </c>
      <c r="C59" s="56" t="s">
        <v>709</v>
      </c>
      <c r="D59" s="56" t="s">
        <v>710</v>
      </c>
      <c r="E59" s="56"/>
      <c r="F59" s="57"/>
      <c r="G59" s="57"/>
      <c r="H59" s="58"/>
      <c r="I59" s="57" t="s">
        <v>206</v>
      </c>
      <c r="J59" s="57" t="s">
        <v>206</v>
      </c>
      <c r="K59" s="57" t="s">
        <v>196</v>
      </c>
      <c r="L59" s="57"/>
      <c r="M59" s="57" t="s">
        <v>267</v>
      </c>
      <c r="N59" s="57" t="s">
        <v>267</v>
      </c>
      <c r="O59" s="57" t="s">
        <v>669</v>
      </c>
      <c r="P59" s="57"/>
      <c r="Q59" s="57" t="s">
        <v>269</v>
      </c>
      <c r="R59" s="57" t="s">
        <v>269</v>
      </c>
      <c r="S59" s="57" t="s">
        <v>268</v>
      </c>
      <c r="T59" s="57" t="s">
        <v>269</v>
      </c>
      <c r="U59" s="57" t="s">
        <v>269</v>
      </c>
      <c r="V59" s="57" t="s">
        <v>271</v>
      </c>
      <c r="W59" s="57" t="s">
        <v>271</v>
      </c>
      <c r="X59" s="58"/>
      <c r="Y59" s="59" t="s">
        <v>272</v>
      </c>
      <c r="Z59" s="59" t="s">
        <v>269</v>
      </c>
      <c r="AA59" s="57" t="s">
        <v>271</v>
      </c>
      <c r="AB59" s="59" t="s">
        <v>272</v>
      </c>
      <c r="AC59" s="59"/>
      <c r="AD59" s="59" t="s">
        <v>274</v>
      </c>
      <c r="AE59" s="57" t="s">
        <v>206</v>
      </c>
      <c r="AF59" s="58"/>
      <c r="AG59" s="57" t="s">
        <v>267</v>
      </c>
      <c r="AH59" s="57"/>
      <c r="AI59" s="57" t="s">
        <v>267</v>
      </c>
      <c r="AJ59" s="57" t="s">
        <v>267</v>
      </c>
      <c r="AK59" s="57"/>
      <c r="AL59" s="57" t="s">
        <v>267</v>
      </c>
      <c r="AM59" s="57" t="s">
        <v>267</v>
      </c>
      <c r="AN59" s="57" t="s">
        <v>267</v>
      </c>
      <c r="AO59" s="57" t="s">
        <v>267</v>
      </c>
      <c r="AP59" s="57" t="s">
        <v>267</v>
      </c>
      <c r="AQ59" s="57"/>
      <c r="AR59" s="57"/>
      <c r="AS59" s="57"/>
      <c r="AT59" s="57" t="s">
        <v>267</v>
      </c>
      <c r="AU59" s="57" t="s">
        <v>267</v>
      </c>
      <c r="AV59" s="57"/>
      <c r="AW59" s="57"/>
      <c r="AX59" s="57"/>
      <c r="AY59" s="57"/>
      <c r="AZ59" s="57"/>
      <c r="BA59" s="57"/>
      <c r="BB59" s="57" t="s">
        <v>267</v>
      </c>
      <c r="BC59" s="57"/>
      <c r="BD59" s="57"/>
      <c r="BE59" s="57"/>
      <c r="BF59" s="57"/>
      <c r="BG59" s="57"/>
      <c r="BH59" s="57"/>
      <c r="BI59" s="57" t="s">
        <v>267</v>
      </c>
      <c r="BJ59" s="57"/>
      <c r="BK59" s="57"/>
      <c r="BL59" s="57"/>
      <c r="BM59" s="57"/>
      <c r="BN59" s="57"/>
      <c r="BO59" s="57" t="s">
        <v>267</v>
      </c>
      <c r="BP59" s="57"/>
      <c r="BQ59" s="57"/>
      <c r="BR59" s="57"/>
      <c r="BS59" s="57"/>
      <c r="BT59" s="57"/>
      <c r="BU59" s="57"/>
      <c r="BV59" s="57" t="s">
        <v>267</v>
      </c>
      <c r="BW59" s="57"/>
      <c r="BX59" s="57"/>
      <c r="BY59" s="57"/>
      <c r="BZ59" s="57" t="s">
        <v>267</v>
      </c>
      <c r="CA59" s="57"/>
      <c r="CB59" s="57"/>
      <c r="CC59" s="57"/>
      <c r="CD59" s="57"/>
      <c r="CE59" s="57"/>
      <c r="CF59" s="57"/>
      <c r="CG59" s="57"/>
      <c r="CH59" s="57"/>
      <c r="CI59" s="57"/>
      <c r="CJ59" s="57"/>
      <c r="CK59" s="57"/>
      <c r="CL59" s="57"/>
      <c r="CM59" s="57"/>
      <c r="CN59" s="57" t="s">
        <v>267</v>
      </c>
      <c r="CO59" s="57"/>
      <c r="CP59" s="57"/>
      <c r="CQ59" s="57"/>
      <c r="CR59" s="57"/>
      <c r="CS59" s="57"/>
      <c r="CT59" s="57"/>
      <c r="CU59" s="57" t="s">
        <v>267</v>
      </c>
      <c r="CV59" s="57"/>
      <c r="CW59" s="57"/>
      <c r="CX59" s="57"/>
      <c r="CY59" s="57" t="s">
        <v>267</v>
      </c>
      <c r="CZ59" s="57"/>
      <c r="DA59" s="57"/>
      <c r="DB59" s="57"/>
      <c r="DC59" s="57"/>
      <c r="DD59" s="57"/>
      <c r="DE59" s="57"/>
      <c r="DF59" s="57"/>
      <c r="DG59" s="57"/>
      <c r="DH59" s="57"/>
      <c r="DI59" s="57"/>
      <c r="DJ59" s="57"/>
      <c r="DK59" s="57"/>
      <c r="DL59" s="57"/>
      <c r="DM59" s="57"/>
      <c r="DN59" s="57" t="s">
        <v>267</v>
      </c>
      <c r="DO59" s="57"/>
      <c r="DP59" s="57" t="s">
        <v>220</v>
      </c>
      <c r="DQ59" s="57"/>
      <c r="DR59" s="57"/>
      <c r="DS59" s="57"/>
      <c r="DT59" s="57"/>
      <c r="DU59" s="57"/>
      <c r="DV59" s="57"/>
      <c r="DW59" s="57" t="s">
        <v>274</v>
      </c>
      <c r="DX59" s="57" t="s">
        <v>274</v>
      </c>
      <c r="DY59" s="57" t="s">
        <v>274</v>
      </c>
      <c r="DZ59" s="57" t="s">
        <v>275</v>
      </c>
      <c r="EA59" s="57" t="s">
        <v>274</v>
      </c>
      <c r="EB59" s="56"/>
      <c r="EC59" s="57"/>
      <c r="ED59" s="56"/>
      <c r="EE59" s="56"/>
      <c r="EF59" s="56"/>
      <c r="EG59" s="56"/>
      <c r="EH59" s="58"/>
      <c r="EI59" s="86"/>
      <c r="EJ59" s="86"/>
    </row>
    <row r="60" spans="1:140" ht="52.8" collapsed="1" x14ac:dyDescent="0.25">
      <c r="A60" s="91"/>
      <c r="B60" s="141" t="s">
        <v>697</v>
      </c>
      <c r="C60" s="56" t="s">
        <v>569</v>
      </c>
      <c r="D60" s="56" t="s">
        <v>193</v>
      </c>
      <c r="E60" s="56" t="s">
        <v>321</v>
      </c>
      <c r="F60" s="57" t="s">
        <v>906</v>
      </c>
      <c r="G60" s="57" t="s">
        <v>623</v>
      </c>
      <c r="H60" s="58"/>
      <c r="I60" s="57" t="s">
        <v>206</v>
      </c>
      <c r="J60" s="57" t="s">
        <v>206</v>
      </c>
      <c r="K60" s="57" t="s">
        <v>196</v>
      </c>
      <c r="L60" s="57" t="s">
        <v>313</v>
      </c>
      <c r="M60" s="57" t="s">
        <v>267</v>
      </c>
      <c r="N60" s="57"/>
      <c r="O60" s="57" t="s">
        <v>669</v>
      </c>
      <c r="P60" s="57"/>
      <c r="Q60" s="57" t="s">
        <v>269</v>
      </c>
      <c r="R60" s="57" t="s">
        <v>269</v>
      </c>
      <c r="S60" s="57" t="s">
        <v>268</v>
      </c>
      <c r="T60" s="57" t="s">
        <v>269</v>
      </c>
      <c r="U60" s="57" t="s">
        <v>269</v>
      </c>
      <c r="V60" s="57" t="s">
        <v>271</v>
      </c>
      <c r="W60" s="57" t="s">
        <v>271</v>
      </c>
      <c r="X60" s="58" t="s">
        <v>314</v>
      </c>
      <c r="Y60" s="59" t="s">
        <v>272</v>
      </c>
      <c r="Z60" s="59" t="s">
        <v>269</v>
      </c>
      <c r="AA60" s="57" t="s">
        <v>271</v>
      </c>
      <c r="AB60" s="59" t="s">
        <v>272</v>
      </c>
      <c r="AC60" s="59"/>
      <c r="AD60" s="59" t="s">
        <v>274</v>
      </c>
      <c r="AE60" s="57" t="s">
        <v>206</v>
      </c>
      <c r="AF60" s="58" t="s">
        <v>466</v>
      </c>
      <c r="AG60" s="57" t="s">
        <v>267</v>
      </c>
      <c r="AH60" s="57"/>
      <c r="AI60" s="57" t="s">
        <v>267</v>
      </c>
      <c r="AJ60" s="57" t="s">
        <v>267</v>
      </c>
      <c r="AK60" s="57"/>
      <c r="AL60" s="57" t="s">
        <v>267</v>
      </c>
      <c r="AM60" s="57" t="s">
        <v>267</v>
      </c>
      <c r="AN60" s="57" t="s">
        <v>267</v>
      </c>
      <c r="AO60" s="57" t="s">
        <v>267</v>
      </c>
      <c r="AP60" s="57" t="s">
        <v>267</v>
      </c>
      <c r="AQ60" s="57"/>
      <c r="AR60" s="57"/>
      <c r="AS60" s="57"/>
      <c r="AT60" s="57" t="s">
        <v>267</v>
      </c>
      <c r="AU60" s="57" t="s">
        <v>267</v>
      </c>
      <c r="AV60" s="57"/>
      <c r="AW60" s="57"/>
      <c r="AX60" s="57"/>
      <c r="AY60" s="57"/>
      <c r="AZ60" s="57"/>
      <c r="BA60" s="57"/>
      <c r="BB60" s="57" t="s">
        <v>267</v>
      </c>
      <c r="BC60" s="57"/>
      <c r="BD60" s="57"/>
      <c r="BE60" s="57"/>
      <c r="BF60" s="57"/>
      <c r="BG60" s="57"/>
      <c r="BH60" s="57"/>
      <c r="BI60" s="57" t="s">
        <v>267</v>
      </c>
      <c r="BJ60" s="57"/>
      <c r="BK60" s="57"/>
      <c r="BL60" s="57"/>
      <c r="BM60" s="57"/>
      <c r="BN60" s="57"/>
      <c r="BO60" s="57" t="s">
        <v>267</v>
      </c>
      <c r="BP60" s="57"/>
      <c r="BQ60" s="57"/>
      <c r="BR60" s="57"/>
      <c r="BS60" s="57"/>
      <c r="BT60" s="57"/>
      <c r="BU60" s="57"/>
      <c r="BV60" s="57" t="s">
        <v>267</v>
      </c>
      <c r="BW60" s="57"/>
      <c r="BX60" s="57"/>
      <c r="BY60" s="57"/>
      <c r="BZ60" s="57" t="s">
        <v>267</v>
      </c>
      <c r="CA60" s="57"/>
      <c r="CB60" s="57"/>
      <c r="CC60" s="57"/>
      <c r="CD60" s="57"/>
      <c r="CE60" s="57"/>
      <c r="CF60" s="57"/>
      <c r="CG60" s="57"/>
      <c r="CH60" s="57"/>
      <c r="CI60" s="57"/>
      <c r="CJ60" s="57"/>
      <c r="CK60" s="57"/>
      <c r="CL60" s="57"/>
      <c r="CM60" s="57"/>
      <c r="CN60" s="57" t="s">
        <v>267</v>
      </c>
      <c r="CO60" s="57"/>
      <c r="CP60" s="57"/>
      <c r="CQ60" s="57"/>
      <c r="CR60" s="57"/>
      <c r="CS60" s="57"/>
      <c r="CT60" s="57"/>
      <c r="CU60" s="57" t="s">
        <v>267</v>
      </c>
      <c r="CV60" s="57"/>
      <c r="CW60" s="57"/>
      <c r="CX60" s="57"/>
      <c r="CY60" s="57" t="s">
        <v>267</v>
      </c>
      <c r="CZ60" s="57"/>
      <c r="DA60" s="57"/>
      <c r="DB60" s="57"/>
      <c r="DC60" s="57"/>
      <c r="DD60" s="57"/>
      <c r="DE60" s="57"/>
      <c r="DF60" s="57"/>
      <c r="DG60" s="57"/>
      <c r="DH60" s="57"/>
      <c r="DI60" s="57"/>
      <c r="DJ60" s="57"/>
      <c r="DK60" s="57"/>
      <c r="DL60" s="57"/>
      <c r="DM60" s="57"/>
      <c r="DN60" s="57" t="s">
        <v>267</v>
      </c>
      <c r="DO60" s="57"/>
      <c r="DP60" s="57" t="s">
        <v>220</v>
      </c>
      <c r="DQ60" s="57"/>
      <c r="DR60" s="57"/>
      <c r="DS60" s="57"/>
      <c r="DT60" s="57"/>
      <c r="DU60" s="57"/>
      <c r="DV60" s="57"/>
      <c r="DW60" s="57" t="s">
        <v>274</v>
      </c>
      <c r="DX60" s="57" t="s">
        <v>274</v>
      </c>
      <c r="DY60" s="57" t="s">
        <v>274</v>
      </c>
      <c r="DZ60" s="57" t="s">
        <v>274</v>
      </c>
      <c r="EA60" s="57" t="s">
        <v>274</v>
      </c>
      <c r="EB60" s="56" t="s">
        <v>680</v>
      </c>
      <c r="EC60" s="57" t="s">
        <v>679</v>
      </c>
      <c r="ED60" s="56"/>
      <c r="EE60" s="56"/>
      <c r="EF60" s="56"/>
      <c r="EG60" s="56"/>
      <c r="EH60" s="58"/>
      <c r="EI60" s="86"/>
      <c r="EJ60" s="86"/>
    </row>
    <row r="61" spans="1:140" ht="92.4" hidden="1" outlineLevel="1" x14ac:dyDescent="0.25">
      <c r="A61" s="91"/>
      <c r="B61" s="129" t="s">
        <v>662</v>
      </c>
      <c r="C61" s="56" t="s">
        <v>688</v>
      </c>
      <c r="D61" s="56" t="s">
        <v>191</v>
      </c>
      <c r="E61" s="56" t="s">
        <v>310</v>
      </c>
      <c r="F61" s="57" t="s">
        <v>311</v>
      </c>
      <c r="G61" s="57" t="s">
        <v>623</v>
      </c>
      <c r="H61" s="58"/>
      <c r="I61" s="57" t="s">
        <v>206</v>
      </c>
      <c r="J61" s="57" t="s">
        <v>206</v>
      </c>
      <c r="K61" s="57" t="s">
        <v>196</v>
      </c>
      <c r="L61" s="57" t="s">
        <v>313</v>
      </c>
      <c r="M61" s="57"/>
      <c r="N61" s="57" t="s">
        <v>267</v>
      </c>
      <c r="O61" s="57"/>
      <c r="P61" s="57"/>
      <c r="Q61" s="57" t="s">
        <v>272</v>
      </c>
      <c r="R61" s="57" t="s">
        <v>269</v>
      </c>
      <c r="S61" s="57" t="s">
        <v>268</v>
      </c>
      <c r="T61" s="57" t="s">
        <v>272</v>
      </c>
      <c r="U61" s="57" t="s">
        <v>272</v>
      </c>
      <c r="V61" s="57" t="s">
        <v>271</v>
      </c>
      <c r="W61" s="57" t="s">
        <v>272</v>
      </c>
      <c r="X61" s="58" t="s">
        <v>314</v>
      </c>
      <c r="Y61" s="59" t="s">
        <v>272</v>
      </c>
      <c r="Z61" s="59" t="s">
        <v>271</v>
      </c>
      <c r="AA61" s="62" t="s">
        <v>268</v>
      </c>
      <c r="AB61" s="59" t="s">
        <v>269</v>
      </c>
      <c r="AC61" s="59" t="s">
        <v>315</v>
      </c>
      <c r="AD61" s="59" t="s">
        <v>274</v>
      </c>
      <c r="AE61" s="57" t="s">
        <v>206</v>
      </c>
      <c r="AF61" s="63" t="s">
        <v>285</v>
      </c>
      <c r="AG61" s="62" t="s">
        <v>267</v>
      </c>
      <c r="AH61" s="62" t="s">
        <v>267</v>
      </c>
      <c r="AI61" s="62" t="s">
        <v>267</v>
      </c>
      <c r="AJ61" s="62" t="s">
        <v>267</v>
      </c>
      <c r="AK61" s="62"/>
      <c r="AL61" s="62" t="s">
        <v>267</v>
      </c>
      <c r="AM61" s="62" t="s">
        <v>267</v>
      </c>
      <c r="AN61" s="62" t="s">
        <v>267</v>
      </c>
      <c r="AO61" s="62" t="s">
        <v>267</v>
      </c>
      <c r="AP61" s="62" t="s">
        <v>267</v>
      </c>
      <c r="AQ61" s="62"/>
      <c r="AR61" s="62"/>
      <c r="AS61" s="62"/>
      <c r="AT61" s="62" t="s">
        <v>267</v>
      </c>
      <c r="AU61" s="62" t="s">
        <v>267</v>
      </c>
      <c r="AV61" s="62"/>
      <c r="AW61" s="62"/>
      <c r="AX61" s="62"/>
      <c r="AY61" s="62"/>
      <c r="AZ61" s="62"/>
      <c r="BA61" s="62"/>
      <c r="BB61" s="62" t="s">
        <v>267</v>
      </c>
      <c r="BC61" s="62"/>
      <c r="BD61" s="62"/>
      <c r="BE61" s="62"/>
      <c r="BF61" s="62"/>
      <c r="BG61" s="62"/>
      <c r="BH61" s="62"/>
      <c r="BI61" s="62" t="s">
        <v>267</v>
      </c>
      <c r="BJ61" s="62"/>
      <c r="BK61" s="62"/>
      <c r="BL61" s="62"/>
      <c r="BM61" s="62"/>
      <c r="BN61" s="62"/>
      <c r="BO61" s="62" t="s">
        <v>267</v>
      </c>
      <c r="BP61" s="62"/>
      <c r="BQ61" s="62"/>
      <c r="BR61" s="62"/>
      <c r="BS61" s="62"/>
      <c r="BT61" s="62"/>
      <c r="BU61" s="62"/>
      <c r="BV61" s="62" t="s">
        <v>267</v>
      </c>
      <c r="BW61" s="62"/>
      <c r="BX61" s="62"/>
      <c r="BY61" s="62"/>
      <c r="BZ61" s="62" t="s">
        <v>267</v>
      </c>
      <c r="CA61" s="62"/>
      <c r="CB61" s="62"/>
      <c r="CC61" s="62"/>
      <c r="CD61" s="62"/>
      <c r="CE61" s="62"/>
      <c r="CF61" s="62"/>
      <c r="CG61" s="62"/>
      <c r="CH61" s="62"/>
      <c r="CI61" s="62"/>
      <c r="CJ61" s="62"/>
      <c r="CK61" s="62"/>
      <c r="CL61" s="62"/>
      <c r="CM61" s="62"/>
      <c r="CN61" s="62" t="s">
        <v>267</v>
      </c>
      <c r="CO61" s="62"/>
      <c r="CP61" s="62"/>
      <c r="CQ61" s="62"/>
      <c r="CR61" s="62"/>
      <c r="CS61" s="62"/>
      <c r="CT61" s="62"/>
      <c r="CU61" s="62" t="s">
        <v>267</v>
      </c>
      <c r="CV61" s="62"/>
      <c r="CW61" s="62"/>
      <c r="CX61" s="62"/>
      <c r="CY61" s="62" t="s">
        <v>267</v>
      </c>
      <c r="CZ61" s="62"/>
      <c r="DA61" s="62"/>
      <c r="DB61" s="62"/>
      <c r="DC61" s="62"/>
      <c r="DD61" s="62"/>
      <c r="DE61" s="62"/>
      <c r="DF61" s="62"/>
      <c r="DG61" s="62"/>
      <c r="DH61" s="62"/>
      <c r="DI61" s="62"/>
      <c r="DJ61" s="62"/>
      <c r="DK61" s="62"/>
      <c r="DL61" s="62"/>
      <c r="DM61" s="62"/>
      <c r="DN61" s="62" t="s">
        <v>267</v>
      </c>
      <c r="DO61" s="62"/>
      <c r="DP61" s="62" t="s">
        <v>220</v>
      </c>
      <c r="DQ61" s="57"/>
      <c r="DR61" s="57"/>
      <c r="DS61" s="57"/>
      <c r="DT61" s="57"/>
      <c r="DU61" s="57"/>
      <c r="DV61" s="57"/>
      <c r="DW61" s="57" t="s">
        <v>274</v>
      </c>
      <c r="DX61" s="57" t="s">
        <v>274</v>
      </c>
      <c r="DY61" s="57" t="s">
        <v>274</v>
      </c>
      <c r="DZ61" s="57" t="s">
        <v>274</v>
      </c>
      <c r="EA61" s="57" t="s">
        <v>274</v>
      </c>
      <c r="EB61" s="56" t="s">
        <v>471</v>
      </c>
      <c r="EC61" s="57" t="s">
        <v>426</v>
      </c>
      <c r="ED61" s="56" t="s">
        <v>477</v>
      </c>
      <c r="EE61" s="56"/>
      <c r="EF61" s="56"/>
      <c r="EG61" s="56" t="s">
        <v>316</v>
      </c>
      <c r="EH61" s="58"/>
      <c r="EI61" s="86"/>
      <c r="EJ61" s="86"/>
    </row>
    <row r="62" spans="1:140" ht="79.2" hidden="1" outlineLevel="1" x14ac:dyDescent="0.25">
      <c r="A62" s="91"/>
      <c r="B62" s="129" t="s">
        <v>662</v>
      </c>
      <c r="C62" s="56" t="s">
        <v>688</v>
      </c>
      <c r="D62" s="56" t="s">
        <v>192</v>
      </c>
      <c r="E62" s="56" t="s">
        <v>317</v>
      </c>
      <c r="F62" s="57" t="s">
        <v>318</v>
      </c>
      <c r="G62" s="57" t="s">
        <v>623</v>
      </c>
      <c r="H62" s="58"/>
      <c r="I62" s="57" t="s">
        <v>206</v>
      </c>
      <c r="J62" s="57" t="s">
        <v>206</v>
      </c>
      <c r="K62" s="57" t="s">
        <v>196</v>
      </c>
      <c r="L62" s="57" t="s">
        <v>313</v>
      </c>
      <c r="M62" s="57"/>
      <c r="N62" s="57" t="s">
        <v>267</v>
      </c>
      <c r="O62" s="57"/>
      <c r="P62" s="57"/>
      <c r="Q62" s="57" t="s">
        <v>272</v>
      </c>
      <c r="R62" s="57" t="s">
        <v>269</v>
      </c>
      <c r="S62" s="57" t="s">
        <v>268</v>
      </c>
      <c r="T62" s="57" t="s">
        <v>272</v>
      </c>
      <c r="U62" s="57" t="s">
        <v>269</v>
      </c>
      <c r="V62" s="62" t="s">
        <v>271</v>
      </c>
      <c r="W62" s="62" t="s">
        <v>271</v>
      </c>
      <c r="X62" s="58" t="s">
        <v>314</v>
      </c>
      <c r="Y62" s="64" t="s">
        <v>272</v>
      </c>
      <c r="Z62" s="64" t="s">
        <v>269</v>
      </c>
      <c r="AA62" s="62" t="s">
        <v>268</v>
      </c>
      <c r="AB62" s="59" t="s">
        <v>269</v>
      </c>
      <c r="AC62" s="59" t="s">
        <v>315</v>
      </c>
      <c r="AD62" s="59" t="s">
        <v>274</v>
      </c>
      <c r="AE62" s="57" t="s">
        <v>206</v>
      </c>
      <c r="AF62" s="63" t="s">
        <v>285</v>
      </c>
      <c r="AG62" s="62" t="s">
        <v>267</v>
      </c>
      <c r="AH62" s="62"/>
      <c r="AI62" s="62" t="s">
        <v>267</v>
      </c>
      <c r="AJ62" s="62" t="s">
        <v>267</v>
      </c>
      <c r="AK62" s="62"/>
      <c r="AL62" s="62" t="s">
        <v>267</v>
      </c>
      <c r="AM62" s="62" t="s">
        <v>267</v>
      </c>
      <c r="AN62" s="62" t="s">
        <v>267</v>
      </c>
      <c r="AO62" s="62" t="s">
        <v>267</v>
      </c>
      <c r="AP62" s="62"/>
      <c r="AQ62" s="62"/>
      <c r="AR62" s="62"/>
      <c r="AS62" s="62"/>
      <c r="AT62" s="62"/>
      <c r="AU62" s="62"/>
      <c r="AV62" s="62"/>
      <c r="AW62" s="62"/>
      <c r="AX62" s="62"/>
      <c r="AY62" s="62"/>
      <c r="AZ62" s="62"/>
      <c r="BA62" s="62"/>
      <c r="BB62" s="62"/>
      <c r="BC62" s="62"/>
      <c r="BD62" s="62"/>
      <c r="BE62" s="62"/>
      <c r="BF62" s="62"/>
      <c r="BG62" s="62"/>
      <c r="BH62" s="62"/>
      <c r="BI62" s="62"/>
      <c r="BJ62" s="62"/>
      <c r="BK62" s="62"/>
      <c r="BL62" s="62"/>
      <c r="BM62" s="62"/>
      <c r="BN62" s="62"/>
      <c r="BO62" s="62" t="s">
        <v>267</v>
      </c>
      <c r="BP62" s="62"/>
      <c r="BQ62" s="62"/>
      <c r="BR62" s="62"/>
      <c r="BS62" s="62"/>
      <c r="BT62" s="62"/>
      <c r="BU62" s="62"/>
      <c r="BV62" s="62"/>
      <c r="BW62" s="62"/>
      <c r="BX62" s="62"/>
      <c r="BY62" s="62"/>
      <c r="BZ62" s="62" t="s">
        <v>267</v>
      </c>
      <c r="CA62" s="62"/>
      <c r="CB62" s="62"/>
      <c r="CC62" s="62"/>
      <c r="CD62" s="62"/>
      <c r="CE62" s="62"/>
      <c r="CF62" s="62"/>
      <c r="CG62" s="62"/>
      <c r="CH62" s="62"/>
      <c r="CI62" s="62"/>
      <c r="CJ62" s="62"/>
      <c r="CK62" s="62"/>
      <c r="CL62" s="62"/>
      <c r="CM62" s="62"/>
      <c r="CN62" s="62" t="s">
        <v>267</v>
      </c>
      <c r="CO62" s="62"/>
      <c r="CP62" s="62"/>
      <c r="CQ62" s="62"/>
      <c r="CR62" s="62"/>
      <c r="CS62" s="62"/>
      <c r="CT62" s="62"/>
      <c r="CU62" s="62"/>
      <c r="CV62" s="62"/>
      <c r="CW62" s="62"/>
      <c r="CX62" s="62"/>
      <c r="CY62" s="62" t="s">
        <v>267</v>
      </c>
      <c r="CZ62" s="62"/>
      <c r="DA62" s="62"/>
      <c r="DB62" s="62"/>
      <c r="DC62" s="62"/>
      <c r="DD62" s="62"/>
      <c r="DE62" s="62"/>
      <c r="DF62" s="62"/>
      <c r="DG62" s="62"/>
      <c r="DH62" s="62"/>
      <c r="DI62" s="62"/>
      <c r="DJ62" s="62"/>
      <c r="DK62" s="62"/>
      <c r="DL62" s="62"/>
      <c r="DM62" s="62"/>
      <c r="DN62" s="62" t="s">
        <v>267</v>
      </c>
      <c r="DO62" s="62"/>
      <c r="DP62" s="62" t="s">
        <v>220</v>
      </c>
      <c r="DQ62" s="57"/>
      <c r="DR62" s="57"/>
      <c r="DS62" s="57"/>
      <c r="DT62" s="57"/>
      <c r="DU62" s="57"/>
      <c r="DV62" s="57"/>
      <c r="DW62" s="57" t="s">
        <v>274</v>
      </c>
      <c r="DX62" s="57" t="s">
        <v>274</v>
      </c>
      <c r="DY62" s="57" t="s">
        <v>274</v>
      </c>
      <c r="DZ62" s="57" t="s">
        <v>274</v>
      </c>
      <c r="EA62" s="62" t="s">
        <v>274</v>
      </c>
      <c r="EB62" s="65"/>
      <c r="EC62" s="62"/>
      <c r="ED62" s="58"/>
      <c r="EE62" s="56"/>
      <c r="EF62" s="56"/>
      <c r="EG62" s="56"/>
      <c r="EH62" s="58"/>
      <c r="EI62" s="86"/>
      <c r="EJ62" s="86"/>
    </row>
    <row r="63" spans="1:140" ht="79.2" hidden="1" outlineLevel="1" x14ac:dyDescent="0.25">
      <c r="A63" s="91"/>
      <c r="B63" s="129" t="s">
        <v>662</v>
      </c>
      <c r="C63" s="56" t="s">
        <v>689</v>
      </c>
      <c r="D63" s="56" t="s">
        <v>454</v>
      </c>
      <c r="E63" s="56" t="s">
        <v>319</v>
      </c>
      <c r="F63" s="57" t="s">
        <v>320</v>
      </c>
      <c r="G63" s="57" t="s">
        <v>623</v>
      </c>
      <c r="H63" s="58"/>
      <c r="I63" s="57" t="s">
        <v>206</v>
      </c>
      <c r="J63" s="57" t="s">
        <v>206</v>
      </c>
      <c r="K63" s="57" t="s">
        <v>196</v>
      </c>
      <c r="L63" s="57" t="s">
        <v>313</v>
      </c>
      <c r="M63" s="57" t="s">
        <v>267</v>
      </c>
      <c r="N63" s="57"/>
      <c r="O63" s="57" t="s">
        <v>669</v>
      </c>
      <c r="P63" s="57"/>
      <c r="Q63" s="57" t="s">
        <v>269</v>
      </c>
      <c r="R63" s="57" t="s">
        <v>269</v>
      </c>
      <c r="S63" s="57" t="s">
        <v>268</v>
      </c>
      <c r="T63" s="57" t="s">
        <v>269</v>
      </c>
      <c r="U63" s="57" t="s">
        <v>269</v>
      </c>
      <c r="V63" s="57" t="s">
        <v>271</v>
      </c>
      <c r="W63" s="57" t="s">
        <v>271</v>
      </c>
      <c r="X63" s="58" t="s">
        <v>314</v>
      </c>
      <c r="Y63" s="59" t="s">
        <v>272</v>
      </c>
      <c r="Z63" s="59" t="s">
        <v>271</v>
      </c>
      <c r="AA63" s="57" t="s">
        <v>268</v>
      </c>
      <c r="AB63" s="59" t="s">
        <v>269</v>
      </c>
      <c r="AC63" s="59"/>
      <c r="AD63" s="59" t="s">
        <v>274</v>
      </c>
      <c r="AE63" s="57" t="s">
        <v>206</v>
      </c>
      <c r="AF63" s="58" t="s">
        <v>285</v>
      </c>
      <c r="AG63" s="57" t="s">
        <v>267</v>
      </c>
      <c r="AH63" s="57"/>
      <c r="AI63" s="57" t="s">
        <v>267</v>
      </c>
      <c r="AJ63" s="57" t="s">
        <v>267</v>
      </c>
      <c r="AK63" s="57"/>
      <c r="AL63" s="57" t="s">
        <v>267</v>
      </c>
      <c r="AM63" s="57" t="s">
        <v>267</v>
      </c>
      <c r="AN63" s="57" t="s">
        <v>267</v>
      </c>
      <c r="AO63" s="57" t="s">
        <v>267</v>
      </c>
      <c r="AP63" s="57" t="s">
        <v>267</v>
      </c>
      <c r="AQ63" s="57"/>
      <c r="AR63" s="57"/>
      <c r="AS63" s="57"/>
      <c r="AT63" s="57" t="s">
        <v>267</v>
      </c>
      <c r="AU63" s="57" t="s">
        <v>267</v>
      </c>
      <c r="AV63" s="57"/>
      <c r="AW63" s="57"/>
      <c r="AX63" s="57"/>
      <c r="AY63" s="57"/>
      <c r="AZ63" s="57"/>
      <c r="BA63" s="57"/>
      <c r="BB63" s="57" t="s">
        <v>267</v>
      </c>
      <c r="BC63" s="57"/>
      <c r="BD63" s="57"/>
      <c r="BE63" s="57"/>
      <c r="BF63" s="57"/>
      <c r="BG63" s="57"/>
      <c r="BH63" s="57"/>
      <c r="BI63" s="57" t="s">
        <v>267</v>
      </c>
      <c r="BJ63" s="57"/>
      <c r="BK63" s="57"/>
      <c r="BL63" s="57"/>
      <c r="BM63" s="57"/>
      <c r="BN63" s="57"/>
      <c r="BO63" s="57" t="s">
        <v>267</v>
      </c>
      <c r="BP63" s="57"/>
      <c r="BQ63" s="57"/>
      <c r="BR63" s="57"/>
      <c r="BS63" s="57"/>
      <c r="BT63" s="57"/>
      <c r="BU63" s="57"/>
      <c r="BV63" s="57" t="s">
        <v>267</v>
      </c>
      <c r="BW63" s="57"/>
      <c r="BX63" s="57"/>
      <c r="BY63" s="57"/>
      <c r="BZ63" s="57" t="s">
        <v>267</v>
      </c>
      <c r="CA63" s="57"/>
      <c r="CB63" s="57"/>
      <c r="CC63" s="57"/>
      <c r="CD63" s="57"/>
      <c r="CE63" s="57"/>
      <c r="CF63" s="57"/>
      <c r="CG63" s="57"/>
      <c r="CH63" s="57"/>
      <c r="CI63" s="57"/>
      <c r="CJ63" s="57"/>
      <c r="CK63" s="57"/>
      <c r="CL63" s="57"/>
      <c r="CM63" s="57"/>
      <c r="CN63" s="57" t="s">
        <v>267</v>
      </c>
      <c r="CO63" s="57"/>
      <c r="CP63" s="57"/>
      <c r="CQ63" s="57"/>
      <c r="CR63" s="57"/>
      <c r="CS63" s="57"/>
      <c r="CT63" s="57"/>
      <c r="CU63" s="57" t="s">
        <v>267</v>
      </c>
      <c r="CV63" s="57"/>
      <c r="CW63" s="57"/>
      <c r="CX63" s="57"/>
      <c r="CY63" s="57" t="s">
        <v>267</v>
      </c>
      <c r="CZ63" s="57"/>
      <c r="DA63" s="57"/>
      <c r="DB63" s="57"/>
      <c r="DC63" s="57"/>
      <c r="DD63" s="57"/>
      <c r="DE63" s="57"/>
      <c r="DF63" s="57"/>
      <c r="DG63" s="57"/>
      <c r="DH63" s="57"/>
      <c r="DI63" s="57"/>
      <c r="DJ63" s="57"/>
      <c r="DK63" s="57"/>
      <c r="DL63" s="57"/>
      <c r="DM63" s="57"/>
      <c r="DN63" s="57" t="s">
        <v>267</v>
      </c>
      <c r="DO63" s="57"/>
      <c r="DP63" s="57" t="s">
        <v>220</v>
      </c>
      <c r="DQ63" s="57"/>
      <c r="DR63" s="57"/>
      <c r="DS63" s="57"/>
      <c r="DT63" s="57"/>
      <c r="DU63" s="57"/>
      <c r="DV63" s="57"/>
      <c r="DW63" s="57" t="s">
        <v>274</v>
      </c>
      <c r="DX63" s="57" t="s">
        <v>274</v>
      </c>
      <c r="DY63" s="57" t="s">
        <v>274</v>
      </c>
      <c r="DZ63" s="57" t="s">
        <v>274</v>
      </c>
      <c r="EA63" s="57" t="s">
        <v>274</v>
      </c>
      <c r="EB63" s="56"/>
      <c r="EC63" s="57"/>
      <c r="ED63" s="56"/>
      <c r="EE63" s="56"/>
      <c r="EF63" s="56"/>
      <c r="EG63" s="56"/>
      <c r="EH63" s="58"/>
      <c r="EI63" s="86"/>
      <c r="EJ63" s="86"/>
    </row>
    <row r="64" spans="1:140" ht="52.8" hidden="1" outlineLevel="1" x14ac:dyDescent="0.25">
      <c r="A64" s="91"/>
      <c r="B64" s="129" t="s">
        <v>662</v>
      </c>
      <c r="C64" s="56" t="s">
        <v>689</v>
      </c>
      <c r="D64" s="56" t="s">
        <v>194</v>
      </c>
      <c r="E64" s="56" t="s">
        <v>478</v>
      </c>
      <c r="F64" s="57" t="s">
        <v>279</v>
      </c>
      <c r="G64" s="57" t="s">
        <v>623</v>
      </c>
      <c r="H64" s="58"/>
      <c r="I64" s="57" t="s">
        <v>206</v>
      </c>
      <c r="J64" s="57" t="s">
        <v>206</v>
      </c>
      <c r="K64" s="57" t="s">
        <v>196</v>
      </c>
      <c r="L64" s="57" t="s">
        <v>313</v>
      </c>
      <c r="M64" s="57" t="s">
        <v>267</v>
      </c>
      <c r="N64" s="57"/>
      <c r="O64" s="57" t="s">
        <v>669</v>
      </c>
      <c r="P64" s="57"/>
      <c r="Q64" s="57" t="s">
        <v>271</v>
      </c>
      <c r="R64" s="57" t="s">
        <v>269</v>
      </c>
      <c r="S64" s="57" t="s">
        <v>268</v>
      </c>
      <c r="T64" s="57" t="s">
        <v>269</v>
      </c>
      <c r="U64" s="57" t="s">
        <v>269</v>
      </c>
      <c r="V64" s="57" t="s">
        <v>271</v>
      </c>
      <c r="W64" s="57" t="s">
        <v>271</v>
      </c>
      <c r="X64" s="58" t="s">
        <v>314</v>
      </c>
      <c r="Y64" s="59" t="s">
        <v>269</v>
      </c>
      <c r="Z64" s="59" t="s">
        <v>269</v>
      </c>
      <c r="AA64" s="57" t="s">
        <v>271</v>
      </c>
      <c r="AB64" s="59" t="s">
        <v>272</v>
      </c>
      <c r="AC64" s="59"/>
      <c r="AD64" s="59" t="s">
        <v>274</v>
      </c>
      <c r="AE64" s="57" t="s">
        <v>206</v>
      </c>
      <c r="AF64" s="58" t="s">
        <v>285</v>
      </c>
      <c r="AG64" s="57" t="s">
        <v>267</v>
      </c>
      <c r="AH64" s="57"/>
      <c r="AI64" s="57" t="s">
        <v>267</v>
      </c>
      <c r="AJ64" s="57" t="s">
        <v>267</v>
      </c>
      <c r="AK64" s="57"/>
      <c r="AL64" s="57" t="s">
        <v>267</v>
      </c>
      <c r="AM64" s="57" t="s">
        <v>267</v>
      </c>
      <c r="AN64" s="57" t="s">
        <v>267</v>
      </c>
      <c r="AO64" s="57" t="s">
        <v>267</v>
      </c>
      <c r="AP64" s="57" t="s">
        <v>267</v>
      </c>
      <c r="AQ64" s="57"/>
      <c r="AR64" s="57"/>
      <c r="AS64" s="57"/>
      <c r="AT64" s="57" t="s">
        <v>267</v>
      </c>
      <c r="AU64" s="57" t="s">
        <v>267</v>
      </c>
      <c r="AV64" s="57"/>
      <c r="AW64" s="57"/>
      <c r="AX64" s="57"/>
      <c r="AY64" s="57"/>
      <c r="AZ64" s="57"/>
      <c r="BA64" s="57"/>
      <c r="BB64" s="57" t="s">
        <v>267</v>
      </c>
      <c r="BC64" s="57"/>
      <c r="BD64" s="57"/>
      <c r="BE64" s="57"/>
      <c r="BF64" s="57"/>
      <c r="BG64" s="57"/>
      <c r="BH64" s="57"/>
      <c r="BI64" s="57" t="s">
        <v>267</v>
      </c>
      <c r="BJ64" s="57"/>
      <c r="BK64" s="57"/>
      <c r="BL64" s="57"/>
      <c r="BM64" s="57"/>
      <c r="BN64" s="57"/>
      <c r="BO64" s="57" t="s">
        <v>267</v>
      </c>
      <c r="BP64" s="57"/>
      <c r="BQ64" s="57"/>
      <c r="BR64" s="57"/>
      <c r="BS64" s="57"/>
      <c r="BT64" s="57"/>
      <c r="BU64" s="57"/>
      <c r="BV64" s="57" t="s">
        <v>267</v>
      </c>
      <c r="BW64" s="57"/>
      <c r="BX64" s="57"/>
      <c r="BY64" s="57"/>
      <c r="BZ64" s="57" t="s">
        <v>267</v>
      </c>
      <c r="CA64" s="57"/>
      <c r="CB64" s="57"/>
      <c r="CC64" s="57"/>
      <c r="CD64" s="57"/>
      <c r="CE64" s="57"/>
      <c r="CF64" s="57"/>
      <c r="CG64" s="57"/>
      <c r="CH64" s="57"/>
      <c r="CI64" s="57"/>
      <c r="CJ64" s="57"/>
      <c r="CK64" s="57"/>
      <c r="CL64" s="57"/>
      <c r="CM64" s="57"/>
      <c r="CN64" s="57" t="s">
        <v>267</v>
      </c>
      <c r="CO64" s="57"/>
      <c r="CP64" s="57"/>
      <c r="CQ64" s="57"/>
      <c r="CR64" s="57"/>
      <c r="CS64" s="57"/>
      <c r="CT64" s="57"/>
      <c r="CU64" s="57" t="s">
        <v>267</v>
      </c>
      <c r="CV64" s="57"/>
      <c r="CW64" s="57"/>
      <c r="CX64" s="57"/>
      <c r="CY64" s="57" t="s">
        <v>267</v>
      </c>
      <c r="CZ64" s="57"/>
      <c r="DA64" s="57"/>
      <c r="DB64" s="57"/>
      <c r="DC64" s="57"/>
      <c r="DD64" s="57"/>
      <c r="DE64" s="57"/>
      <c r="DF64" s="57"/>
      <c r="DG64" s="57"/>
      <c r="DH64" s="57"/>
      <c r="DI64" s="57"/>
      <c r="DJ64" s="57"/>
      <c r="DK64" s="57"/>
      <c r="DL64" s="57"/>
      <c r="DM64" s="57"/>
      <c r="DN64" s="57" t="s">
        <v>267</v>
      </c>
      <c r="DO64" s="57"/>
      <c r="DP64" s="57" t="s">
        <v>225</v>
      </c>
      <c r="DQ64" s="57"/>
      <c r="DR64" s="57"/>
      <c r="DS64" s="57"/>
      <c r="DT64" s="57"/>
      <c r="DU64" s="57"/>
      <c r="DV64" s="57"/>
      <c r="DW64" s="57" t="s">
        <v>274</v>
      </c>
      <c r="DX64" s="57" t="s">
        <v>274</v>
      </c>
      <c r="DY64" s="57" t="s">
        <v>274</v>
      </c>
      <c r="DZ64" s="57" t="s">
        <v>274</v>
      </c>
      <c r="EA64" s="57" t="s">
        <v>274</v>
      </c>
      <c r="EB64" s="56" t="s">
        <v>471</v>
      </c>
      <c r="EC64" s="57" t="s">
        <v>426</v>
      </c>
      <c r="ED64" s="56"/>
      <c r="EE64" s="56"/>
      <c r="EF64" s="56"/>
      <c r="EG64" s="56"/>
      <c r="EH64" s="58"/>
      <c r="EI64" s="86"/>
      <c r="EJ64" s="86"/>
    </row>
    <row r="65" spans="1:140" ht="39.6" hidden="1" outlineLevel="1" x14ac:dyDescent="0.25">
      <c r="A65" s="91"/>
      <c r="B65" s="130" t="s">
        <v>664</v>
      </c>
      <c r="C65" s="56" t="s">
        <v>664</v>
      </c>
      <c r="D65" s="56" t="s">
        <v>846</v>
      </c>
      <c r="E65" s="56" t="s">
        <v>847</v>
      </c>
      <c r="F65" s="57" t="s">
        <v>279</v>
      </c>
      <c r="G65" s="57" t="s">
        <v>312</v>
      </c>
      <c r="H65" s="58"/>
      <c r="I65" s="57" t="s">
        <v>198</v>
      </c>
      <c r="J65" s="57" t="s">
        <v>198</v>
      </c>
      <c r="K65" s="57" t="s">
        <v>198</v>
      </c>
      <c r="L65" s="57" t="s">
        <v>369</v>
      </c>
      <c r="M65" s="57"/>
      <c r="N65" s="57" t="s">
        <v>267</v>
      </c>
      <c r="O65" s="57"/>
      <c r="P65" s="57"/>
      <c r="Q65" s="57" t="s">
        <v>268</v>
      </c>
      <c r="R65" s="57" t="s">
        <v>268</v>
      </c>
      <c r="S65" s="57" t="s">
        <v>272</v>
      </c>
      <c r="T65" s="57" t="s">
        <v>272</v>
      </c>
      <c r="U65" s="57" t="s">
        <v>268</v>
      </c>
      <c r="V65" s="62" t="s">
        <v>272</v>
      </c>
      <c r="W65" s="62" t="s">
        <v>268</v>
      </c>
      <c r="X65" s="63" t="s">
        <v>369</v>
      </c>
      <c r="Y65" s="64" t="s">
        <v>272</v>
      </c>
      <c r="Z65" s="64" t="s">
        <v>272</v>
      </c>
      <c r="AA65" s="62" t="s">
        <v>272</v>
      </c>
      <c r="AB65" s="59" t="s">
        <v>272</v>
      </c>
      <c r="AC65" s="59"/>
      <c r="AD65" s="59" t="s">
        <v>275</v>
      </c>
      <c r="AE65" s="57"/>
      <c r="AF65" s="63"/>
      <c r="AG65" s="62" t="s">
        <v>267</v>
      </c>
      <c r="AH65" s="62"/>
      <c r="AI65" s="62" t="s">
        <v>267</v>
      </c>
      <c r="AJ65" s="62" t="s">
        <v>267</v>
      </c>
      <c r="AK65" s="62"/>
      <c r="AL65" s="62" t="s">
        <v>267</v>
      </c>
      <c r="AM65" s="62" t="s">
        <v>267</v>
      </c>
      <c r="AN65" s="62" t="s">
        <v>267</v>
      </c>
      <c r="AO65" s="62" t="s">
        <v>267</v>
      </c>
      <c r="AP65" s="62"/>
      <c r="AQ65" s="62"/>
      <c r="AR65" s="62"/>
      <c r="AS65" s="62"/>
      <c r="AT65" s="62" t="s">
        <v>267</v>
      </c>
      <c r="AU65" s="62"/>
      <c r="AV65" s="62"/>
      <c r="AW65" s="62"/>
      <c r="AX65" s="62"/>
      <c r="AY65" s="62"/>
      <c r="AZ65" s="62"/>
      <c r="BA65" s="62"/>
      <c r="BB65" s="62" t="s">
        <v>267</v>
      </c>
      <c r="BC65" s="62"/>
      <c r="BD65" s="62"/>
      <c r="BE65" s="62"/>
      <c r="BF65" s="62"/>
      <c r="BG65" s="62"/>
      <c r="BH65" s="62"/>
      <c r="BI65" s="62"/>
      <c r="BJ65" s="62"/>
      <c r="BK65" s="62"/>
      <c r="BL65" s="62"/>
      <c r="BM65" s="62"/>
      <c r="BN65" s="62"/>
      <c r="BO65" s="62" t="s">
        <v>267</v>
      </c>
      <c r="BP65" s="62"/>
      <c r="BQ65" s="62"/>
      <c r="BR65" s="62"/>
      <c r="BS65" s="62"/>
      <c r="BT65" s="62"/>
      <c r="BU65" s="62"/>
      <c r="BV65" s="62"/>
      <c r="BW65" s="62"/>
      <c r="BX65" s="62"/>
      <c r="BY65" s="62"/>
      <c r="BZ65" s="62" t="s">
        <v>267</v>
      </c>
      <c r="CA65" s="62"/>
      <c r="CB65" s="62"/>
      <c r="CC65" s="62"/>
      <c r="CD65" s="62"/>
      <c r="CE65" s="62"/>
      <c r="CF65" s="62"/>
      <c r="CG65" s="62"/>
      <c r="CH65" s="62"/>
      <c r="CI65" s="62"/>
      <c r="CJ65" s="62"/>
      <c r="CK65" s="62"/>
      <c r="CL65" s="62"/>
      <c r="CM65" s="62"/>
      <c r="CN65" s="62" t="s">
        <v>267</v>
      </c>
      <c r="CO65" s="62"/>
      <c r="CP65" s="62"/>
      <c r="CQ65" s="62"/>
      <c r="CR65" s="62"/>
      <c r="CS65" s="62"/>
      <c r="CT65" s="62"/>
      <c r="CU65" s="62"/>
      <c r="CV65" s="62"/>
      <c r="CW65" s="62"/>
      <c r="CX65" s="62"/>
      <c r="CY65" s="62" t="s">
        <v>267</v>
      </c>
      <c r="CZ65" s="62"/>
      <c r="DA65" s="62"/>
      <c r="DB65" s="62"/>
      <c r="DC65" s="62"/>
      <c r="DD65" s="62"/>
      <c r="DE65" s="62"/>
      <c r="DF65" s="62"/>
      <c r="DG65" s="62"/>
      <c r="DH65" s="62"/>
      <c r="DI65" s="62"/>
      <c r="DJ65" s="62"/>
      <c r="DK65" s="62"/>
      <c r="DL65" s="62"/>
      <c r="DM65" s="62"/>
      <c r="DN65" s="62" t="s">
        <v>267</v>
      </c>
      <c r="DO65" s="62"/>
      <c r="DP65" s="62" t="s">
        <v>121</v>
      </c>
      <c r="DQ65" s="62"/>
      <c r="DR65" s="62"/>
      <c r="DS65" s="62"/>
      <c r="DT65" s="62"/>
      <c r="DU65" s="62"/>
      <c r="DV65" s="62"/>
      <c r="DW65" s="62" t="s">
        <v>275</v>
      </c>
      <c r="DX65" s="62" t="s">
        <v>274</v>
      </c>
      <c r="DY65" s="62" t="s">
        <v>439</v>
      </c>
      <c r="DZ65" s="62" t="s">
        <v>274</v>
      </c>
      <c r="EA65" s="62" t="s">
        <v>275</v>
      </c>
      <c r="EB65" s="65" t="s">
        <v>281</v>
      </c>
      <c r="EC65" s="62" t="s">
        <v>275</v>
      </c>
      <c r="ED65" s="56" t="s">
        <v>374</v>
      </c>
      <c r="EE65" s="56" t="s">
        <v>479</v>
      </c>
      <c r="EF65" s="56"/>
      <c r="EG65" s="56"/>
      <c r="EH65" s="58"/>
      <c r="EI65" s="86"/>
      <c r="EJ65" s="86"/>
    </row>
    <row r="66" spans="1:140" ht="39.6" hidden="1" outlineLevel="1" x14ac:dyDescent="0.25">
      <c r="A66" s="91"/>
      <c r="B66" s="130" t="s">
        <v>664</v>
      </c>
      <c r="C66" s="56" t="s">
        <v>664</v>
      </c>
      <c r="D66" s="56" t="s">
        <v>372</v>
      </c>
      <c r="E66" s="56" t="s">
        <v>373</v>
      </c>
      <c r="F66" s="57" t="s">
        <v>279</v>
      </c>
      <c r="G66" s="57" t="s">
        <v>312</v>
      </c>
      <c r="H66" s="58"/>
      <c r="I66" s="57" t="s">
        <v>198</v>
      </c>
      <c r="J66" s="57" t="s">
        <v>198</v>
      </c>
      <c r="K66" s="57" t="s">
        <v>198</v>
      </c>
      <c r="L66" s="57" t="s">
        <v>369</v>
      </c>
      <c r="M66" s="57"/>
      <c r="N66" s="57" t="s">
        <v>267</v>
      </c>
      <c r="O66" s="57"/>
      <c r="P66" s="57"/>
      <c r="Q66" s="57" t="s">
        <v>268</v>
      </c>
      <c r="R66" s="57" t="s">
        <v>268</v>
      </c>
      <c r="S66" s="57" t="s">
        <v>272</v>
      </c>
      <c r="T66" s="57" t="s">
        <v>272</v>
      </c>
      <c r="U66" s="57" t="s">
        <v>268</v>
      </c>
      <c r="V66" s="62" t="s">
        <v>272</v>
      </c>
      <c r="W66" s="62" t="s">
        <v>268</v>
      </c>
      <c r="X66" s="63" t="s">
        <v>369</v>
      </c>
      <c r="Y66" s="64" t="s">
        <v>272</v>
      </c>
      <c r="Z66" s="64" t="s">
        <v>272</v>
      </c>
      <c r="AA66" s="62" t="s">
        <v>272</v>
      </c>
      <c r="AB66" s="59" t="s">
        <v>272</v>
      </c>
      <c r="AC66" s="59"/>
      <c r="AD66" s="59" t="s">
        <v>275</v>
      </c>
      <c r="AE66" s="57"/>
      <c r="AF66" s="63"/>
      <c r="AG66" s="62" t="s">
        <v>267</v>
      </c>
      <c r="AH66" s="62"/>
      <c r="AI66" s="62" t="s">
        <v>267</v>
      </c>
      <c r="AJ66" s="62" t="s">
        <v>267</v>
      </c>
      <c r="AK66" s="62"/>
      <c r="AL66" s="62" t="s">
        <v>267</v>
      </c>
      <c r="AM66" s="62" t="s">
        <v>267</v>
      </c>
      <c r="AN66" s="62" t="s">
        <v>267</v>
      </c>
      <c r="AO66" s="62" t="s">
        <v>267</v>
      </c>
      <c r="AP66" s="62"/>
      <c r="AQ66" s="62"/>
      <c r="AR66" s="62"/>
      <c r="AS66" s="62"/>
      <c r="AT66" s="62" t="s">
        <v>267</v>
      </c>
      <c r="AU66" s="62"/>
      <c r="AV66" s="62"/>
      <c r="AW66" s="62"/>
      <c r="AX66" s="62"/>
      <c r="AY66" s="62"/>
      <c r="AZ66" s="62"/>
      <c r="BA66" s="62"/>
      <c r="BB66" s="62" t="s">
        <v>267</v>
      </c>
      <c r="BC66" s="62"/>
      <c r="BD66" s="62"/>
      <c r="BE66" s="62"/>
      <c r="BF66" s="62"/>
      <c r="BG66" s="62"/>
      <c r="BH66" s="62"/>
      <c r="BI66" s="62"/>
      <c r="BJ66" s="62"/>
      <c r="BK66" s="62"/>
      <c r="BL66" s="62"/>
      <c r="BM66" s="62"/>
      <c r="BN66" s="62"/>
      <c r="BO66" s="62" t="s">
        <v>267</v>
      </c>
      <c r="BP66" s="62"/>
      <c r="BQ66" s="62"/>
      <c r="BR66" s="62"/>
      <c r="BS66" s="62"/>
      <c r="BT66" s="62"/>
      <c r="BU66" s="62"/>
      <c r="BV66" s="62"/>
      <c r="BW66" s="62"/>
      <c r="BX66" s="62"/>
      <c r="BY66" s="62"/>
      <c r="BZ66" s="62" t="s">
        <v>267</v>
      </c>
      <c r="CA66" s="62"/>
      <c r="CB66" s="62"/>
      <c r="CC66" s="62"/>
      <c r="CD66" s="62"/>
      <c r="CE66" s="62"/>
      <c r="CF66" s="62"/>
      <c r="CG66" s="62"/>
      <c r="CH66" s="62"/>
      <c r="CI66" s="62"/>
      <c r="CJ66" s="62"/>
      <c r="CK66" s="62"/>
      <c r="CL66" s="62"/>
      <c r="CM66" s="62"/>
      <c r="CN66" s="62" t="s">
        <v>267</v>
      </c>
      <c r="CO66" s="62"/>
      <c r="CP66" s="62"/>
      <c r="CQ66" s="62"/>
      <c r="CR66" s="62"/>
      <c r="CS66" s="62"/>
      <c r="CT66" s="62"/>
      <c r="CU66" s="62"/>
      <c r="CV66" s="62"/>
      <c r="CW66" s="62"/>
      <c r="CX66" s="62"/>
      <c r="CY66" s="62" t="s">
        <v>267</v>
      </c>
      <c r="CZ66" s="62"/>
      <c r="DA66" s="62"/>
      <c r="DB66" s="62"/>
      <c r="DC66" s="62"/>
      <c r="DD66" s="62"/>
      <c r="DE66" s="62"/>
      <c r="DF66" s="62"/>
      <c r="DG66" s="62"/>
      <c r="DH66" s="62"/>
      <c r="DI66" s="62"/>
      <c r="DJ66" s="62"/>
      <c r="DK66" s="62"/>
      <c r="DL66" s="62"/>
      <c r="DM66" s="62"/>
      <c r="DN66" s="62" t="s">
        <v>267</v>
      </c>
      <c r="DO66" s="62"/>
      <c r="DP66" s="62" t="s">
        <v>121</v>
      </c>
      <c r="DQ66" s="62"/>
      <c r="DR66" s="62"/>
      <c r="DS66" s="62"/>
      <c r="DT66" s="62"/>
      <c r="DU66" s="62"/>
      <c r="DV66" s="62"/>
      <c r="DW66" s="62" t="s">
        <v>275</v>
      </c>
      <c r="DX66" s="62" t="s">
        <v>274</v>
      </c>
      <c r="DY66" s="62" t="s">
        <v>439</v>
      </c>
      <c r="DZ66" s="62" t="s">
        <v>274</v>
      </c>
      <c r="EA66" s="62" t="s">
        <v>275</v>
      </c>
      <c r="EB66" s="65" t="s">
        <v>281</v>
      </c>
      <c r="EC66" s="62" t="s">
        <v>275</v>
      </c>
      <c r="ED66" s="56" t="s">
        <v>374</v>
      </c>
      <c r="EE66" s="56" t="s">
        <v>479</v>
      </c>
      <c r="EF66" s="56"/>
      <c r="EG66" s="56"/>
      <c r="EH66" s="58"/>
      <c r="EI66" s="86"/>
      <c r="EJ66" s="86"/>
    </row>
    <row r="67" spans="1:140" ht="66" hidden="1" outlineLevel="1" x14ac:dyDescent="0.25">
      <c r="A67" s="91"/>
      <c r="B67" s="130" t="s">
        <v>664</v>
      </c>
      <c r="C67" s="56" t="s">
        <v>664</v>
      </c>
      <c r="D67" s="56" t="s">
        <v>850</v>
      </c>
      <c r="E67" s="56" t="s">
        <v>849</v>
      </c>
      <c r="F67" s="57" t="s">
        <v>279</v>
      </c>
      <c r="G67" s="57" t="s">
        <v>312</v>
      </c>
      <c r="H67" s="58"/>
      <c r="I67" s="57" t="s">
        <v>196</v>
      </c>
      <c r="J67" s="57" t="s">
        <v>196</v>
      </c>
      <c r="K67" s="57" t="s">
        <v>196</v>
      </c>
      <c r="L67" s="57" t="s">
        <v>382</v>
      </c>
      <c r="M67" s="57"/>
      <c r="N67" s="57" t="s">
        <v>267</v>
      </c>
      <c r="O67" s="57"/>
      <c r="P67" s="57"/>
      <c r="Q67" s="57" t="s">
        <v>271</v>
      </c>
      <c r="R67" s="57" t="s">
        <v>268</v>
      </c>
      <c r="S67" s="57" t="s">
        <v>272</v>
      </c>
      <c r="T67" s="57" t="s">
        <v>272</v>
      </c>
      <c r="U67" s="57" t="s">
        <v>268</v>
      </c>
      <c r="V67" s="62" t="s">
        <v>272</v>
      </c>
      <c r="W67" s="62" t="s">
        <v>268</v>
      </c>
      <c r="X67" s="63" t="s">
        <v>295</v>
      </c>
      <c r="Y67" s="64" t="s">
        <v>268</v>
      </c>
      <c r="Z67" s="64" t="s">
        <v>268</v>
      </c>
      <c r="AA67" s="62" t="s">
        <v>272</v>
      </c>
      <c r="AB67" s="59" t="s">
        <v>272</v>
      </c>
      <c r="AC67" s="59"/>
      <c r="AD67" s="59" t="s">
        <v>274</v>
      </c>
      <c r="AE67" s="57"/>
      <c r="AF67" s="63" t="s">
        <v>383</v>
      </c>
      <c r="AG67" s="62" t="s">
        <v>267</v>
      </c>
      <c r="AH67" s="62" t="s">
        <v>267</v>
      </c>
      <c r="AI67" s="62" t="s">
        <v>267</v>
      </c>
      <c r="AJ67" s="62" t="s">
        <v>267</v>
      </c>
      <c r="AK67" s="62"/>
      <c r="AL67" s="62" t="s">
        <v>267</v>
      </c>
      <c r="AM67" s="62" t="s">
        <v>267</v>
      </c>
      <c r="AN67" s="62" t="s">
        <v>267</v>
      </c>
      <c r="AO67" s="62" t="s">
        <v>267</v>
      </c>
      <c r="AP67" s="62"/>
      <c r="AQ67" s="62"/>
      <c r="AR67" s="62"/>
      <c r="AS67" s="62"/>
      <c r="AT67" s="62"/>
      <c r="AU67" s="62"/>
      <c r="AV67" s="62"/>
      <c r="AW67" s="62"/>
      <c r="AX67" s="62"/>
      <c r="AY67" s="62"/>
      <c r="AZ67" s="62"/>
      <c r="BA67" s="62"/>
      <c r="BB67" s="62"/>
      <c r="BC67" s="62"/>
      <c r="BD67" s="62"/>
      <c r="BE67" s="62"/>
      <c r="BF67" s="62"/>
      <c r="BG67" s="62"/>
      <c r="BH67" s="62"/>
      <c r="BI67" s="62"/>
      <c r="BJ67" s="62"/>
      <c r="BK67" s="62"/>
      <c r="BL67" s="62"/>
      <c r="BM67" s="62"/>
      <c r="BN67" s="62"/>
      <c r="BO67" s="62" t="s">
        <v>267</v>
      </c>
      <c r="BP67" s="62"/>
      <c r="BQ67" s="62"/>
      <c r="BR67" s="62"/>
      <c r="BS67" s="62"/>
      <c r="BT67" s="62"/>
      <c r="BU67" s="62"/>
      <c r="BV67" s="62"/>
      <c r="BW67" s="62"/>
      <c r="BX67" s="62"/>
      <c r="BY67" s="62"/>
      <c r="BZ67" s="62" t="s">
        <v>267</v>
      </c>
      <c r="CA67" s="62"/>
      <c r="CB67" s="62"/>
      <c r="CC67" s="62"/>
      <c r="CD67" s="62"/>
      <c r="CE67" s="62"/>
      <c r="CF67" s="62"/>
      <c r="CG67" s="62"/>
      <c r="CH67" s="62"/>
      <c r="CI67" s="62"/>
      <c r="CJ67" s="62"/>
      <c r="CK67" s="62"/>
      <c r="CL67" s="62"/>
      <c r="CM67" s="62"/>
      <c r="CN67" s="62" t="s">
        <v>267</v>
      </c>
      <c r="CO67" s="62"/>
      <c r="CP67" s="62"/>
      <c r="CQ67" s="62"/>
      <c r="CR67" s="62"/>
      <c r="CS67" s="62"/>
      <c r="CT67" s="62"/>
      <c r="CU67" s="62"/>
      <c r="CV67" s="62"/>
      <c r="CW67" s="62"/>
      <c r="CX67" s="62"/>
      <c r="CY67" s="62" t="s">
        <v>267</v>
      </c>
      <c r="CZ67" s="62"/>
      <c r="DA67" s="62"/>
      <c r="DB67" s="62"/>
      <c r="DC67" s="62"/>
      <c r="DD67" s="62"/>
      <c r="DE67" s="62"/>
      <c r="DF67" s="62"/>
      <c r="DG67" s="62"/>
      <c r="DH67" s="62"/>
      <c r="DI67" s="62"/>
      <c r="DJ67" s="62"/>
      <c r="DK67" s="62"/>
      <c r="DL67" s="62"/>
      <c r="DM67" s="62"/>
      <c r="DN67" s="62" t="s">
        <v>267</v>
      </c>
      <c r="DO67" s="62"/>
      <c r="DP67" s="62" t="s">
        <v>225</v>
      </c>
      <c r="DQ67" s="62"/>
      <c r="DR67" s="62"/>
      <c r="DS67" s="62"/>
      <c r="DT67" s="62"/>
      <c r="DU67" s="62"/>
      <c r="DV67" s="62"/>
      <c r="DW67" s="62" t="s">
        <v>274</v>
      </c>
      <c r="DX67" s="62" t="s">
        <v>274</v>
      </c>
      <c r="DY67" s="62" t="s">
        <v>274</v>
      </c>
      <c r="DZ67" s="62" t="s">
        <v>274</v>
      </c>
      <c r="EA67" s="62" t="s">
        <v>274</v>
      </c>
      <c r="EB67" s="65" t="s">
        <v>108</v>
      </c>
      <c r="EC67" s="62"/>
      <c r="ED67" s="56" t="s">
        <v>384</v>
      </c>
      <c r="EE67" s="56"/>
      <c r="EF67" s="56"/>
      <c r="EG67" s="56"/>
      <c r="EH67" s="58"/>
      <c r="EI67" s="86"/>
      <c r="EJ67" s="86"/>
    </row>
    <row r="68" spans="1:140" ht="52.8" hidden="1" outlineLevel="1" x14ac:dyDescent="0.25">
      <c r="A68" s="91"/>
      <c r="B68" s="130" t="s">
        <v>664</v>
      </c>
      <c r="C68" s="56" t="s">
        <v>664</v>
      </c>
      <c r="D68" s="56" t="s">
        <v>848</v>
      </c>
      <c r="E68" s="56" t="s">
        <v>851</v>
      </c>
      <c r="F68" s="57" t="s">
        <v>279</v>
      </c>
      <c r="G68" s="57" t="s">
        <v>312</v>
      </c>
      <c r="H68" s="58"/>
      <c r="I68" s="57" t="s">
        <v>196</v>
      </c>
      <c r="J68" s="57" t="s">
        <v>196</v>
      </c>
      <c r="K68" s="57" t="s">
        <v>196</v>
      </c>
      <c r="L68" s="57" t="s">
        <v>382</v>
      </c>
      <c r="M68" s="58"/>
      <c r="N68" s="62" t="s">
        <v>267</v>
      </c>
      <c r="O68" s="57"/>
      <c r="P68" s="57"/>
      <c r="Q68" s="57" t="s">
        <v>272</v>
      </c>
      <c r="R68" s="57" t="s">
        <v>269</v>
      </c>
      <c r="S68" s="57" t="s">
        <v>272</v>
      </c>
      <c r="T68" s="57" t="s">
        <v>272</v>
      </c>
      <c r="U68" s="57" t="s">
        <v>269</v>
      </c>
      <c r="V68" s="62" t="s">
        <v>272</v>
      </c>
      <c r="W68" s="62" t="s">
        <v>272</v>
      </c>
      <c r="X68" s="63" t="s">
        <v>295</v>
      </c>
      <c r="Y68" s="64" t="s">
        <v>271</v>
      </c>
      <c r="Z68" s="64" t="s">
        <v>271</v>
      </c>
      <c r="AA68" s="62" t="s">
        <v>272</v>
      </c>
      <c r="AB68" s="59" t="s">
        <v>272</v>
      </c>
      <c r="AC68" s="59"/>
      <c r="AD68" s="59" t="s">
        <v>274</v>
      </c>
      <c r="AE68" s="57"/>
      <c r="AF68" s="63" t="s">
        <v>383</v>
      </c>
      <c r="AG68" s="62" t="s">
        <v>267</v>
      </c>
      <c r="AH68" s="62" t="s">
        <v>267</v>
      </c>
      <c r="AI68" s="62" t="s">
        <v>267</v>
      </c>
      <c r="AJ68" s="62" t="s">
        <v>267</v>
      </c>
      <c r="AK68" s="62"/>
      <c r="AL68" s="62" t="s">
        <v>267</v>
      </c>
      <c r="AM68" s="62" t="s">
        <v>267</v>
      </c>
      <c r="AN68" s="62" t="s">
        <v>267</v>
      </c>
      <c r="AO68" s="62" t="s">
        <v>267</v>
      </c>
      <c r="AP68" s="62"/>
      <c r="AQ68" s="62"/>
      <c r="AR68" s="62"/>
      <c r="AS68" s="62"/>
      <c r="AT68" s="62"/>
      <c r="AU68" s="62"/>
      <c r="AV68" s="62"/>
      <c r="AW68" s="62"/>
      <c r="AX68" s="62"/>
      <c r="AY68" s="62"/>
      <c r="AZ68" s="62"/>
      <c r="BA68" s="62"/>
      <c r="BB68" s="62"/>
      <c r="BC68" s="62"/>
      <c r="BD68" s="62"/>
      <c r="BE68" s="62"/>
      <c r="BF68" s="62"/>
      <c r="BG68" s="62"/>
      <c r="BH68" s="62"/>
      <c r="BI68" s="62"/>
      <c r="BJ68" s="62"/>
      <c r="BK68" s="62"/>
      <c r="BL68" s="62"/>
      <c r="BM68" s="62"/>
      <c r="BN68" s="62"/>
      <c r="BO68" s="62" t="s">
        <v>267</v>
      </c>
      <c r="BP68" s="62"/>
      <c r="BQ68" s="62"/>
      <c r="BR68" s="62"/>
      <c r="BS68" s="62"/>
      <c r="BT68" s="62"/>
      <c r="BU68" s="62"/>
      <c r="BV68" s="62"/>
      <c r="BW68" s="62"/>
      <c r="BX68" s="62"/>
      <c r="BY68" s="62"/>
      <c r="BZ68" s="62" t="s">
        <v>267</v>
      </c>
      <c r="CA68" s="62"/>
      <c r="CB68" s="62"/>
      <c r="CC68" s="62"/>
      <c r="CD68" s="62"/>
      <c r="CE68" s="62"/>
      <c r="CF68" s="62"/>
      <c r="CG68" s="62"/>
      <c r="CH68" s="62"/>
      <c r="CI68" s="62"/>
      <c r="CJ68" s="62"/>
      <c r="CK68" s="62"/>
      <c r="CL68" s="62"/>
      <c r="CM68" s="62"/>
      <c r="CN68" s="62" t="s">
        <v>267</v>
      </c>
      <c r="CO68" s="62"/>
      <c r="CP68" s="62"/>
      <c r="CQ68" s="62"/>
      <c r="CR68" s="62"/>
      <c r="CS68" s="62"/>
      <c r="CT68" s="62"/>
      <c r="CU68" s="62"/>
      <c r="CV68" s="62"/>
      <c r="CW68" s="62"/>
      <c r="CX68" s="62"/>
      <c r="CY68" s="62" t="s">
        <v>267</v>
      </c>
      <c r="CZ68" s="62"/>
      <c r="DA68" s="62"/>
      <c r="DB68" s="62"/>
      <c r="DC68" s="62"/>
      <c r="DD68" s="62"/>
      <c r="DE68" s="62"/>
      <c r="DF68" s="62"/>
      <c r="DG68" s="62"/>
      <c r="DH68" s="62"/>
      <c r="DI68" s="62"/>
      <c r="DJ68" s="62"/>
      <c r="DK68" s="62"/>
      <c r="DL68" s="62"/>
      <c r="DM68" s="62"/>
      <c r="DN68" s="62" t="s">
        <v>267</v>
      </c>
      <c r="DO68" s="62"/>
      <c r="DP68" s="62" t="s">
        <v>225</v>
      </c>
      <c r="DQ68" s="62"/>
      <c r="DR68" s="62"/>
      <c r="DS68" s="62"/>
      <c r="DT68" s="62"/>
      <c r="DU68" s="62"/>
      <c r="DV68" s="62"/>
      <c r="DW68" s="62" t="s">
        <v>274</v>
      </c>
      <c r="DX68" s="62" t="s">
        <v>274</v>
      </c>
      <c r="DY68" s="62" t="s">
        <v>274</v>
      </c>
      <c r="DZ68" s="62" t="s">
        <v>274</v>
      </c>
      <c r="EA68" s="62" t="s">
        <v>274</v>
      </c>
      <c r="EB68" s="65"/>
      <c r="EC68" s="62"/>
      <c r="ED68" s="56"/>
      <c r="EE68" s="56"/>
      <c r="EF68" s="56"/>
      <c r="EG68" s="56"/>
      <c r="EH68" s="58"/>
      <c r="EI68" s="86"/>
      <c r="EJ68" s="86"/>
    </row>
    <row r="69" spans="1:140" ht="92.4" collapsed="1" x14ac:dyDescent="0.25">
      <c r="A69" s="91"/>
      <c r="B69" s="123" t="s">
        <v>663</v>
      </c>
      <c r="C69" s="56" t="s">
        <v>704</v>
      </c>
      <c r="D69" s="56" t="s">
        <v>164</v>
      </c>
      <c r="E69" s="56" t="s">
        <v>364</v>
      </c>
      <c r="F69" s="57" t="s">
        <v>279</v>
      </c>
      <c r="G69" s="57" t="s">
        <v>623</v>
      </c>
      <c r="H69" s="58"/>
      <c r="I69" s="57" t="s">
        <v>198</v>
      </c>
      <c r="J69" s="57" t="s">
        <v>198</v>
      </c>
      <c r="K69" s="57" t="s">
        <v>448</v>
      </c>
      <c r="L69" s="57" t="s">
        <v>365</v>
      </c>
      <c r="M69" s="57" t="s">
        <v>267</v>
      </c>
      <c r="N69" s="57" t="s">
        <v>267</v>
      </c>
      <c r="O69" s="57" t="s">
        <v>361</v>
      </c>
      <c r="P69" s="57"/>
      <c r="Q69" s="57" t="s">
        <v>268</v>
      </c>
      <c r="R69" s="57" t="s">
        <v>268</v>
      </c>
      <c r="S69" s="57" t="s">
        <v>269</v>
      </c>
      <c r="T69" s="57" t="s">
        <v>272</v>
      </c>
      <c r="U69" s="57" t="s">
        <v>268</v>
      </c>
      <c r="V69" s="62" t="s">
        <v>272</v>
      </c>
      <c r="W69" s="62" t="s">
        <v>268</v>
      </c>
      <c r="X69" s="63" t="s">
        <v>355</v>
      </c>
      <c r="Y69" s="64" t="s">
        <v>269</v>
      </c>
      <c r="Z69" s="64" t="s">
        <v>269</v>
      </c>
      <c r="AA69" s="62" t="s">
        <v>269</v>
      </c>
      <c r="AB69" s="59" t="s">
        <v>269</v>
      </c>
      <c r="AC69" s="59"/>
      <c r="AD69" s="59" t="s">
        <v>275</v>
      </c>
      <c r="AE69" s="57"/>
      <c r="AF69" s="63"/>
      <c r="AG69" s="62" t="s">
        <v>267</v>
      </c>
      <c r="AH69" s="62"/>
      <c r="AI69" s="62" t="s">
        <v>267</v>
      </c>
      <c r="AJ69" s="62" t="s">
        <v>267</v>
      </c>
      <c r="AK69" s="62"/>
      <c r="AL69" s="62" t="s">
        <v>267</v>
      </c>
      <c r="AM69" s="62" t="s">
        <v>267</v>
      </c>
      <c r="AN69" s="62" t="s">
        <v>267</v>
      </c>
      <c r="AO69" s="62"/>
      <c r="AP69" s="62"/>
      <c r="AQ69" s="62"/>
      <c r="AR69" s="62"/>
      <c r="AS69" s="62"/>
      <c r="AT69" s="62" t="s">
        <v>267</v>
      </c>
      <c r="AU69" s="62"/>
      <c r="AV69" s="62"/>
      <c r="AW69" s="62"/>
      <c r="AX69" s="62"/>
      <c r="AY69" s="62"/>
      <c r="AZ69" s="62" t="s">
        <v>267</v>
      </c>
      <c r="BA69" s="62"/>
      <c r="BB69" s="62" t="s">
        <v>267</v>
      </c>
      <c r="BC69" s="62"/>
      <c r="BD69" s="62"/>
      <c r="BE69" s="62"/>
      <c r="BF69" s="62"/>
      <c r="BG69" s="62"/>
      <c r="BH69" s="62" t="s">
        <v>267</v>
      </c>
      <c r="BI69" s="62"/>
      <c r="BJ69" s="62"/>
      <c r="BK69" s="62"/>
      <c r="BL69" s="62" t="s">
        <v>267</v>
      </c>
      <c r="BM69" s="62"/>
      <c r="BN69" s="62"/>
      <c r="BO69" s="62" t="s">
        <v>267</v>
      </c>
      <c r="BP69" s="62"/>
      <c r="BQ69" s="62"/>
      <c r="BR69" s="62"/>
      <c r="BS69" s="62"/>
      <c r="BT69" s="62"/>
      <c r="BU69" s="62" t="s">
        <v>267</v>
      </c>
      <c r="BV69" s="62"/>
      <c r="BW69" s="62" t="s">
        <v>267</v>
      </c>
      <c r="BX69" s="62"/>
      <c r="BY69" s="62"/>
      <c r="BZ69" s="62" t="s">
        <v>267</v>
      </c>
      <c r="CA69" s="62"/>
      <c r="CB69" s="62"/>
      <c r="CC69" s="62"/>
      <c r="CD69" s="62"/>
      <c r="CE69" s="62" t="s">
        <v>267</v>
      </c>
      <c r="CF69" s="62"/>
      <c r="CG69" s="62"/>
      <c r="CH69" s="62"/>
      <c r="CI69" s="62"/>
      <c r="CJ69" s="62"/>
      <c r="CK69" s="62" t="s">
        <v>267</v>
      </c>
      <c r="CL69" s="62"/>
      <c r="CM69" s="62"/>
      <c r="CN69" s="62" t="s">
        <v>267</v>
      </c>
      <c r="CO69" s="62"/>
      <c r="CP69" s="62"/>
      <c r="CQ69" s="62"/>
      <c r="CR69" s="62"/>
      <c r="CS69" s="62"/>
      <c r="CT69" s="62" t="s">
        <v>267</v>
      </c>
      <c r="CU69" s="62"/>
      <c r="CV69" s="62" t="s">
        <v>267</v>
      </c>
      <c r="CW69" s="62"/>
      <c r="CX69" s="62"/>
      <c r="CY69" s="62" t="s">
        <v>267</v>
      </c>
      <c r="CZ69" s="62"/>
      <c r="DA69" s="62"/>
      <c r="DB69" s="62"/>
      <c r="DC69" s="62"/>
      <c r="DD69" s="62" t="s">
        <v>267</v>
      </c>
      <c r="DE69" s="62"/>
      <c r="DF69" s="62"/>
      <c r="DG69" s="62"/>
      <c r="DH69" s="62"/>
      <c r="DI69" s="62"/>
      <c r="DJ69" s="62"/>
      <c r="DK69" s="62"/>
      <c r="DL69" s="62"/>
      <c r="DM69" s="62"/>
      <c r="DN69" s="62" t="s">
        <v>267</v>
      </c>
      <c r="DO69" s="62"/>
      <c r="DP69" s="62" t="s">
        <v>121</v>
      </c>
      <c r="DQ69" s="62"/>
      <c r="DR69" s="62"/>
      <c r="DS69" s="62"/>
      <c r="DT69" s="62"/>
      <c r="DU69" s="62"/>
      <c r="DV69" s="62"/>
      <c r="DW69" s="62" t="s">
        <v>274</v>
      </c>
      <c r="DX69" s="62" t="s">
        <v>274</v>
      </c>
      <c r="DY69" s="62" t="s">
        <v>275</v>
      </c>
      <c r="DZ69" s="62" t="s">
        <v>274</v>
      </c>
      <c r="EA69" s="62" t="s">
        <v>275</v>
      </c>
      <c r="EB69" s="65" t="s">
        <v>366</v>
      </c>
      <c r="EC69" s="62" t="s">
        <v>275</v>
      </c>
      <c r="ED69" s="56" t="s">
        <v>707</v>
      </c>
      <c r="EE69" s="56" t="s">
        <v>480</v>
      </c>
      <c r="EF69" s="56"/>
      <c r="EG69" s="56" t="s">
        <v>367</v>
      </c>
      <c r="EH69" s="58"/>
      <c r="EI69" s="86"/>
      <c r="EJ69" s="86"/>
    </row>
    <row r="70" spans="1:140" ht="39.6" x14ac:dyDescent="0.25">
      <c r="A70" s="91"/>
      <c r="B70" s="123" t="s">
        <v>663</v>
      </c>
      <c r="C70" s="56" t="s">
        <v>704</v>
      </c>
      <c r="D70" s="56" t="s">
        <v>705</v>
      </c>
      <c r="E70" s="56"/>
      <c r="F70" s="57" t="s">
        <v>311</v>
      </c>
      <c r="G70" s="57" t="s">
        <v>623</v>
      </c>
      <c r="H70" s="58"/>
      <c r="I70" s="57" t="s">
        <v>198</v>
      </c>
      <c r="J70" s="57" t="s">
        <v>198</v>
      </c>
      <c r="K70" s="57" t="s">
        <v>448</v>
      </c>
      <c r="L70" s="57"/>
      <c r="M70" s="57"/>
      <c r="N70" s="57" t="s">
        <v>267</v>
      </c>
      <c r="O70" s="57"/>
      <c r="P70" s="57"/>
      <c r="Q70" s="57" t="s">
        <v>268</v>
      </c>
      <c r="R70" s="57" t="s">
        <v>268</v>
      </c>
      <c r="S70" s="57" t="s">
        <v>269</v>
      </c>
      <c r="T70" s="57" t="s">
        <v>272</v>
      </c>
      <c r="U70" s="57" t="s">
        <v>268</v>
      </c>
      <c r="V70" s="62" t="s">
        <v>272</v>
      </c>
      <c r="W70" s="62" t="s">
        <v>268</v>
      </c>
      <c r="X70" s="63"/>
      <c r="Y70" s="64" t="s">
        <v>269</v>
      </c>
      <c r="Z70" s="64" t="s">
        <v>269</v>
      </c>
      <c r="AA70" s="62" t="s">
        <v>269</v>
      </c>
      <c r="AB70" s="59" t="s">
        <v>269</v>
      </c>
      <c r="AC70" s="59"/>
      <c r="AD70" s="59" t="s">
        <v>275</v>
      </c>
      <c r="AE70" s="57"/>
      <c r="AF70" s="63"/>
      <c r="AG70" s="62" t="s">
        <v>267</v>
      </c>
      <c r="AH70" s="62"/>
      <c r="AI70" s="62" t="s">
        <v>267</v>
      </c>
      <c r="AJ70" s="62" t="s">
        <v>267</v>
      </c>
      <c r="AK70" s="62"/>
      <c r="AL70" s="62" t="s">
        <v>267</v>
      </c>
      <c r="AM70" s="62" t="s">
        <v>267</v>
      </c>
      <c r="AN70" s="62" t="s">
        <v>267</v>
      </c>
      <c r="AO70" s="62"/>
      <c r="AP70" s="62"/>
      <c r="AQ70" s="62"/>
      <c r="AR70" s="62"/>
      <c r="AS70" s="62"/>
      <c r="AT70" s="62" t="s">
        <v>267</v>
      </c>
      <c r="AU70" s="62"/>
      <c r="AV70" s="62"/>
      <c r="AW70" s="62"/>
      <c r="AX70" s="62"/>
      <c r="AY70" s="62"/>
      <c r="AZ70" s="62" t="s">
        <v>267</v>
      </c>
      <c r="BA70" s="62"/>
      <c r="BB70" s="62" t="s">
        <v>267</v>
      </c>
      <c r="BC70" s="62"/>
      <c r="BD70" s="62"/>
      <c r="BE70" s="62"/>
      <c r="BF70" s="62"/>
      <c r="BG70" s="62"/>
      <c r="BH70" s="62" t="s">
        <v>267</v>
      </c>
      <c r="BI70" s="62"/>
      <c r="BJ70" s="62"/>
      <c r="BK70" s="62"/>
      <c r="BL70" s="62" t="s">
        <v>267</v>
      </c>
      <c r="BM70" s="62"/>
      <c r="BN70" s="62"/>
      <c r="BO70" s="62" t="s">
        <v>267</v>
      </c>
      <c r="BP70" s="62"/>
      <c r="BQ70" s="62"/>
      <c r="BR70" s="62"/>
      <c r="BS70" s="62"/>
      <c r="BT70" s="62"/>
      <c r="BU70" s="62" t="s">
        <v>267</v>
      </c>
      <c r="BV70" s="62"/>
      <c r="BW70" s="62" t="s">
        <v>267</v>
      </c>
      <c r="BX70" s="62"/>
      <c r="BY70" s="62"/>
      <c r="BZ70" s="62" t="s">
        <v>267</v>
      </c>
      <c r="CA70" s="62"/>
      <c r="CB70" s="62"/>
      <c r="CC70" s="62"/>
      <c r="CD70" s="62"/>
      <c r="CE70" s="62" t="s">
        <v>267</v>
      </c>
      <c r="CF70" s="62"/>
      <c r="CG70" s="62"/>
      <c r="CH70" s="62"/>
      <c r="CI70" s="62"/>
      <c r="CJ70" s="62"/>
      <c r="CK70" s="62" t="s">
        <v>267</v>
      </c>
      <c r="CL70" s="62"/>
      <c r="CM70" s="62"/>
      <c r="CN70" s="62" t="s">
        <v>267</v>
      </c>
      <c r="CO70" s="62"/>
      <c r="CP70" s="62"/>
      <c r="CQ70" s="62"/>
      <c r="CR70" s="62"/>
      <c r="CS70" s="62"/>
      <c r="CT70" s="62" t="s">
        <v>267</v>
      </c>
      <c r="CU70" s="62"/>
      <c r="CV70" s="62" t="s">
        <v>267</v>
      </c>
      <c r="CW70" s="62"/>
      <c r="CX70" s="62"/>
      <c r="CY70" s="62" t="s">
        <v>267</v>
      </c>
      <c r="CZ70" s="62"/>
      <c r="DA70" s="62"/>
      <c r="DB70" s="62"/>
      <c r="DC70" s="62"/>
      <c r="DD70" s="62" t="s">
        <v>267</v>
      </c>
      <c r="DE70" s="62"/>
      <c r="DF70" s="62"/>
      <c r="DG70" s="62"/>
      <c r="DH70" s="62"/>
      <c r="DI70" s="62"/>
      <c r="DJ70" s="62"/>
      <c r="DK70" s="62"/>
      <c r="DL70" s="62"/>
      <c r="DM70" s="62"/>
      <c r="DN70" s="62" t="s">
        <v>267</v>
      </c>
      <c r="DO70" s="62"/>
      <c r="DP70" s="62" t="s">
        <v>121</v>
      </c>
      <c r="DQ70" s="62"/>
      <c r="DR70" s="62"/>
      <c r="DS70" s="62"/>
      <c r="DT70" s="62"/>
      <c r="DU70" s="62"/>
      <c r="DV70" s="62"/>
      <c r="DW70" s="62" t="s">
        <v>274</v>
      </c>
      <c r="DX70" s="62" t="s">
        <v>274</v>
      </c>
      <c r="DY70" s="62" t="s">
        <v>275</v>
      </c>
      <c r="DZ70" s="62" t="s">
        <v>275</v>
      </c>
      <c r="EA70" s="62" t="s">
        <v>275</v>
      </c>
      <c r="EB70" s="65"/>
      <c r="EC70" s="62" t="s">
        <v>275</v>
      </c>
      <c r="ED70" s="56" t="s">
        <v>706</v>
      </c>
      <c r="EE70" s="56" t="s">
        <v>479</v>
      </c>
      <c r="EF70" s="56"/>
      <c r="EG70" s="56"/>
      <c r="EH70" s="58"/>
      <c r="EI70" s="86"/>
      <c r="EJ70" s="86"/>
    </row>
  </sheetData>
  <sortState ref="A3:EH70">
    <sortCondition ref="B3:B70"/>
    <sortCondition ref="C3:C70"/>
  </sortState>
  <mergeCells count="11">
    <mergeCell ref="ED1:EH1"/>
    <mergeCell ref="A1:G1"/>
    <mergeCell ref="AG1:DP1"/>
    <mergeCell ref="DW1:EA1"/>
    <mergeCell ref="EB1:EC1"/>
    <mergeCell ref="I1:L1"/>
    <mergeCell ref="M1:P1"/>
    <mergeCell ref="Q1:X1"/>
    <mergeCell ref="Y1:AC1"/>
    <mergeCell ref="AD1:AF1"/>
    <mergeCell ref="DQ1:DV1"/>
  </mergeCells>
  <pageMargins left="0.15" right="0.15" top="0.5" bottom="0.5" header="0.3" footer="0.3"/>
  <pageSetup paperSize="5" scale="70" firstPageNumber="30" orientation="landscape" useFirstPageNumber="1" r:id="rId1"/>
  <headerFooter alignWithMargins="0">
    <oddHeader>&amp;L&amp;"Tahoma,Regular"&amp;P of &amp;N&amp;C&amp;"Arial,Bold"&amp;12&amp;A&amp;R&amp;D</oddHeader>
    <oddFooter xml:space="preserve">&amp;L
&amp;8&amp;Z&amp;F&amp;CINTERNAL USE ONLY
</oddFooter>
  </headerFooter>
  <colBreaks count="1" manualBreakCount="1">
    <brk id="29" max="1048575" man="1"/>
  </colBreaks>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8"/>
  <sheetViews>
    <sheetView workbookViewId="0">
      <selection activeCell="I20" sqref="I20"/>
    </sheetView>
  </sheetViews>
  <sheetFormatPr defaultRowHeight="13.2" x14ac:dyDescent="0.25"/>
  <cols>
    <col min="1" max="1" width="16.5546875" bestFit="1" customWidth="1"/>
    <col min="2" max="2" width="19.44140625" bestFit="1" customWidth="1"/>
  </cols>
  <sheetData>
    <row r="1" spans="1:2" x14ac:dyDescent="0.25">
      <c r="A1" s="117" t="s">
        <v>560</v>
      </c>
    </row>
    <row r="2" spans="1:2" x14ac:dyDescent="0.25">
      <c r="A2" s="116" t="s">
        <v>561</v>
      </c>
      <c r="B2" s="115" t="s">
        <v>562</v>
      </c>
    </row>
    <row r="3" spans="1:2" x14ac:dyDescent="0.25">
      <c r="B3" s="115" t="s">
        <v>563</v>
      </c>
    </row>
    <row r="4" spans="1:2" x14ac:dyDescent="0.25">
      <c r="B4" s="115" t="s">
        <v>564</v>
      </c>
    </row>
    <row r="5" spans="1:2" x14ac:dyDescent="0.25">
      <c r="B5" s="115" t="s">
        <v>565</v>
      </c>
    </row>
    <row r="10" spans="1:2" x14ac:dyDescent="0.25">
      <c r="A10" s="116" t="s">
        <v>566</v>
      </c>
      <c r="B10" s="115" t="s">
        <v>567</v>
      </c>
    </row>
    <row r="11" spans="1:2" x14ac:dyDescent="0.25">
      <c r="B11" s="115" t="s">
        <v>568</v>
      </c>
    </row>
    <row r="12" spans="1:2" x14ac:dyDescent="0.25">
      <c r="B12" s="115" t="s">
        <v>569</v>
      </c>
    </row>
    <row r="13" spans="1:2" x14ac:dyDescent="0.25">
      <c r="B13" s="115" t="s">
        <v>190</v>
      </c>
    </row>
    <row r="18" spans="1:2" x14ac:dyDescent="0.25">
      <c r="A18" s="116" t="s">
        <v>570</v>
      </c>
      <c r="B18" s="115" t="s">
        <v>571</v>
      </c>
    </row>
    <row r="19" spans="1:2" x14ac:dyDescent="0.25">
      <c r="B19" s="115" t="s">
        <v>572</v>
      </c>
    </row>
    <row r="20" spans="1:2" x14ac:dyDescent="0.25">
      <c r="B20" s="115" t="s">
        <v>573</v>
      </c>
    </row>
    <row r="21" spans="1:2" x14ac:dyDescent="0.25">
      <c r="B21" s="115" t="s">
        <v>574</v>
      </c>
    </row>
    <row r="26" spans="1:2" x14ac:dyDescent="0.25">
      <c r="A26" s="116" t="s">
        <v>575</v>
      </c>
      <c r="B26" s="115" t="s">
        <v>576</v>
      </c>
    </row>
    <row r="27" spans="1:2" x14ac:dyDescent="0.25">
      <c r="B27" s="115" t="s">
        <v>584</v>
      </c>
    </row>
    <row r="28" spans="1:2" x14ac:dyDescent="0.25">
      <c r="B28" s="115" t="s">
        <v>577</v>
      </c>
    </row>
    <row r="29" spans="1:2" x14ac:dyDescent="0.25">
      <c r="B29" s="115" t="s">
        <v>578</v>
      </c>
    </row>
    <row r="30" spans="1:2" x14ac:dyDescent="0.25">
      <c r="B30" s="115" t="s">
        <v>585</v>
      </c>
    </row>
    <row r="35" spans="1:2" x14ac:dyDescent="0.25">
      <c r="A35" s="116" t="s">
        <v>579</v>
      </c>
      <c r="B35" s="115" t="s">
        <v>580</v>
      </c>
    </row>
    <row r="36" spans="1:2" x14ac:dyDescent="0.25">
      <c r="B36" s="115" t="s">
        <v>581</v>
      </c>
    </row>
    <row r="37" spans="1:2" x14ac:dyDescent="0.25">
      <c r="B37" s="115" t="s">
        <v>582</v>
      </c>
    </row>
    <row r="38" spans="1:2" x14ac:dyDescent="0.25">
      <c r="B38" s="115" t="s">
        <v>583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selection activeCell="A10" sqref="A10"/>
    </sheetView>
  </sheetViews>
  <sheetFormatPr defaultRowHeight="13.2" x14ac:dyDescent="0.25"/>
  <cols>
    <col min="1" max="1" width="35" bestFit="1" customWidth="1"/>
  </cols>
  <sheetData>
    <row r="1" spans="1:2" x14ac:dyDescent="0.25">
      <c r="A1" s="117" t="s">
        <v>586</v>
      </c>
    </row>
    <row r="2" spans="1:2" x14ac:dyDescent="0.25">
      <c r="A2" s="115" t="s">
        <v>589</v>
      </c>
    </row>
    <row r="3" spans="1:2" x14ac:dyDescent="0.25">
      <c r="B3" s="115" t="s">
        <v>588</v>
      </c>
    </row>
    <row r="4" spans="1:2" x14ac:dyDescent="0.25">
      <c r="B4" s="115" t="s">
        <v>587</v>
      </c>
    </row>
    <row r="5" spans="1:2" x14ac:dyDescent="0.25">
      <c r="B5" s="115" t="s">
        <v>590</v>
      </c>
    </row>
    <row r="6" spans="1:2" x14ac:dyDescent="0.25">
      <c r="B6" s="115" t="s">
        <v>591</v>
      </c>
    </row>
    <row r="7" spans="1:2" x14ac:dyDescent="0.25">
      <c r="B7" s="115" t="s">
        <v>594</v>
      </c>
    </row>
    <row r="9" spans="1:2" x14ac:dyDescent="0.25">
      <c r="A9" s="115" t="s">
        <v>764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Risk Matrix</vt:lpstr>
      <vt:lpstr>DR &amp; Backup Matrix</vt:lpstr>
      <vt:lpstr>System and Application Matrix</vt:lpstr>
      <vt:lpstr>Application Matrix</vt:lpstr>
      <vt:lpstr>Process Matrix</vt:lpstr>
      <vt:lpstr>Process Ideas</vt:lpstr>
      <vt:lpstr>Questions for Interview</vt:lpstr>
      <vt:lpstr>'Risk Matrix'!Print_Area</vt:lpstr>
      <vt:lpstr>'System and Application Matrix'!Print_Area</vt:lpstr>
      <vt:lpstr>'Application Matrix'!Print_Titles</vt:lpstr>
      <vt:lpstr>'Process Matrix'!Print_Titles</vt:lpstr>
      <vt:lpstr>'Risk Matrix'!Print_Titles</vt:lpstr>
      <vt:lpstr>'System and Application Matrix'!Print_Titles</vt:lpstr>
    </vt:vector>
  </TitlesOfParts>
  <Company>WiSZe Security Consultants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Threat and Probability Matrix</dc:title>
  <dc:creator>Shari Ziebell</dc:creator>
  <cp:lastModifiedBy>Shari Ziebell</cp:lastModifiedBy>
  <cp:lastPrinted>2016-11-18T18:40:20Z</cp:lastPrinted>
  <dcterms:created xsi:type="dcterms:W3CDTF">2007-06-20T22:04:11Z</dcterms:created>
  <dcterms:modified xsi:type="dcterms:W3CDTF">2021-06-08T18:18:26Z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Comments">
    <vt:lpwstr>Use this document to identify with customer the threats and risks of the data center. This copy has no example data.</vt:lpwstr>
  </property>
</Properties>
</file>