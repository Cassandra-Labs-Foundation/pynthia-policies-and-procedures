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020" windowHeight="781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6" i="1" l="1"/>
  <c r="G9" i="1"/>
  <c r="I9" i="1"/>
  <c r="J9" i="1"/>
  <c r="G10" i="1"/>
  <c r="I10" i="1"/>
  <c r="J10" i="1"/>
  <c r="G11" i="1"/>
  <c r="I11" i="1"/>
  <c r="J11" i="1"/>
  <c r="F12" i="1"/>
  <c r="G12" i="1" s="1"/>
  <c r="H12" i="1"/>
  <c r="I12" i="1" s="1"/>
  <c r="J12" i="1"/>
  <c r="K12" i="1" s="1"/>
  <c r="G13" i="1"/>
  <c r="I13" i="1"/>
  <c r="J13" i="1"/>
  <c r="G17" i="1"/>
  <c r="I17" i="1"/>
  <c r="J17" i="1"/>
  <c r="K17" i="1" s="1"/>
  <c r="G18" i="1"/>
  <c r="I18" i="1"/>
  <c r="J18" i="1"/>
  <c r="F19" i="1"/>
  <c r="G19" i="1" s="1"/>
  <c r="H19" i="1"/>
  <c r="I19" i="1" s="1"/>
  <c r="J19" i="1"/>
  <c r="K19" i="1" s="1"/>
  <c r="G22" i="1"/>
  <c r="I22" i="1"/>
  <c r="J22" i="1"/>
  <c r="G23" i="1"/>
  <c r="I23" i="1"/>
  <c r="J23" i="1"/>
  <c r="K23" i="1" s="1"/>
  <c r="G24" i="1"/>
  <c r="I24" i="1"/>
  <c r="J24" i="1"/>
  <c r="G25" i="1"/>
  <c r="I25" i="1"/>
  <c r="J25" i="1"/>
  <c r="K25" i="1" s="1"/>
  <c r="G26" i="1"/>
  <c r="I26" i="1"/>
  <c r="J26" i="1"/>
  <c r="F27" i="1"/>
  <c r="G27" i="1" s="1"/>
  <c r="I27" i="1"/>
  <c r="F29" i="1"/>
  <c r="G29" i="1" s="1"/>
  <c r="H29" i="1"/>
  <c r="I29" i="1" s="1"/>
  <c r="J29" i="1"/>
  <c r="G35" i="1"/>
  <c r="I35" i="1"/>
  <c r="G40" i="1"/>
  <c r="I40" i="1"/>
  <c r="G41" i="1"/>
  <c r="I41" i="1"/>
  <c r="G48" i="1"/>
  <c r="I48" i="1"/>
  <c r="G55" i="1"/>
  <c r="I55" i="1"/>
  <c r="G56" i="1"/>
  <c r="I56" i="1"/>
  <c r="G59" i="1"/>
  <c r="I59" i="1"/>
  <c r="G75" i="1"/>
  <c r="I75" i="1"/>
  <c r="G76" i="1"/>
  <c r="I76" i="1"/>
  <c r="G87" i="1"/>
  <c r="H87" i="1"/>
  <c r="I87" i="1"/>
  <c r="J87" i="1"/>
  <c r="K86" i="1"/>
  <c r="K85" i="1"/>
  <c r="K84" i="1"/>
  <c r="K83" i="1"/>
  <c r="K82" i="1"/>
  <c r="K81" i="1"/>
  <c r="K80" i="1"/>
  <c r="K79" i="1"/>
  <c r="K87" i="1" s="1"/>
  <c r="K75" i="1"/>
  <c r="K40" i="1"/>
  <c r="K55" i="1" s="1"/>
  <c r="K26" i="1"/>
  <c r="K24" i="1"/>
  <c r="K22" i="1"/>
  <c r="K18" i="1"/>
  <c r="K13" i="1"/>
  <c r="K11" i="1"/>
  <c r="K10" i="1"/>
  <c r="J27" i="1" l="1"/>
  <c r="K27" i="1" s="1"/>
  <c r="K29" i="1"/>
  <c r="K9" i="1"/>
  <c r="K35" i="1"/>
  <c r="K48" i="1" s="1"/>
  <c r="K41" i="1"/>
  <c r="K56" i="1" s="1"/>
  <c r="K59" i="1" l="1"/>
  <c r="K76" i="1" s="1"/>
</calcChain>
</file>

<file path=xl/sharedStrings.xml><?xml version="1.0" encoding="utf-8"?>
<sst xmlns="http://schemas.openxmlformats.org/spreadsheetml/2006/main" count="136" uniqueCount="105">
  <si>
    <t>Date</t>
  </si>
  <si>
    <t>Per Source</t>
  </si>
  <si>
    <t>% of</t>
  </si>
  <si>
    <t>Current</t>
  </si>
  <si>
    <t>Available</t>
  </si>
  <si>
    <t>All  numbers are (,000)</t>
  </si>
  <si>
    <t>Target</t>
  </si>
  <si>
    <t>Ttl Assets</t>
  </si>
  <si>
    <t>Balance</t>
  </si>
  <si>
    <t>Funds</t>
  </si>
  <si>
    <t>Maximum</t>
  </si>
  <si>
    <t>I.  Funds Available in the Normal Course of Business</t>
  </si>
  <si>
    <t>A. Local Sources of Deposits (Regular Funding Source)</t>
  </si>
  <si>
    <t>N/A</t>
  </si>
  <si>
    <t>II. Primary Contingent Funding Sources</t>
  </si>
  <si>
    <t>A. Bank Borrowings</t>
  </si>
  <si>
    <t>1. Fed Funds Purchased (limited to 75% of qualified unpledged securities)</t>
  </si>
  <si>
    <t>2. Federal Reserve Borrowing (seasonal limit)</t>
  </si>
  <si>
    <t>Total Bank Borrowings Available</t>
  </si>
  <si>
    <t>B. Fed Funds Sold</t>
  </si>
  <si>
    <t>III. Secondary Contingent Funding Sources</t>
  </si>
  <si>
    <t>A.  Non-Core Sources of Deposits</t>
  </si>
  <si>
    <t>1.  Brokered Deposits</t>
  </si>
  <si>
    <t>2.  Jumbo CD's</t>
  </si>
  <si>
    <t>Total Non-Core Deposits Available</t>
  </si>
  <si>
    <t>IV.  Final Contingent Funding Sources</t>
  </si>
  <si>
    <t>A.  Sale of Unused Pledged Securities</t>
  </si>
  <si>
    <t>B.  Sale of Loan Participations</t>
  </si>
  <si>
    <t>C.  Restrict Early Withdrawals</t>
  </si>
  <si>
    <t>D.  Call Loans</t>
  </si>
  <si>
    <t>E. Borrowing From Bank Holding Company</t>
  </si>
  <si>
    <t>Total Emergency Funds Available</t>
  </si>
  <si>
    <t>TOTAL FUNDS AVAILABLE TO FUND LOAN DEMAND OR DEPOSIT LOSS</t>
  </si>
  <si>
    <t>Scenario #1</t>
  </si>
  <si>
    <t>Temporary disruption in liquidity.  Funding is required only for a short time because</t>
  </si>
  <si>
    <t>Scenario 1</t>
  </si>
  <si>
    <t>Scenario 2</t>
  </si>
  <si>
    <t>Scenario 3</t>
  </si>
  <si>
    <t>problem is self correcting and circumstances are expected to return to normal quickly</t>
  </si>
  <si>
    <t>Assets:</t>
  </si>
  <si>
    <t>(1) Investments</t>
  </si>
  <si>
    <t>10% Increase in Loan Demand</t>
  </si>
  <si>
    <t>(2) Loans</t>
  </si>
  <si>
    <t>10% Decrease in Uninsured Deposits</t>
  </si>
  <si>
    <t>(3) Loan Participations Pur</t>
  </si>
  <si>
    <t>5% decrease in Other Deposits</t>
  </si>
  <si>
    <t>(4) Fed Funds Sold</t>
  </si>
  <si>
    <t>Action Plan:</t>
  </si>
  <si>
    <t>Liabilities:</t>
  </si>
  <si>
    <t>Asset/Liability Officers will meet and monitor daily, if needed.</t>
  </si>
  <si>
    <t>(1) Uninsured Deposits&gt;250M</t>
  </si>
  <si>
    <t>1. Will review rates being offered on depost accounts to see if thye need to be raised.</t>
  </si>
  <si>
    <t>(2) Core Deposits</t>
  </si>
  <si>
    <t>2. Will review investments/CD's maturing to determine if there are sufficient investments</t>
  </si>
  <si>
    <t>(3) Fed Funds Purchased</t>
  </si>
  <si>
    <t>maturing to elimiate liquidity promlem in the near future.</t>
  </si>
  <si>
    <t>3. Will consider borrowing from FHLB if needed to replace lost deposits.</t>
  </si>
  <si>
    <t>SOURCES &amp; USES</t>
  </si>
  <si>
    <t>Section A</t>
  </si>
  <si>
    <t>Scenario #2</t>
  </si>
  <si>
    <t>Anticipated Uses</t>
  </si>
  <si>
    <t>Long Term Distressed environment.  Bank drops to CAMELS 3 or lower.</t>
  </si>
  <si>
    <t>(1) Anticipated Loan Demand</t>
  </si>
  <si>
    <t>(2) Asset Purchases</t>
  </si>
  <si>
    <t xml:space="preserve"> </t>
  </si>
  <si>
    <t>0% Loan Growth</t>
  </si>
  <si>
    <t xml:space="preserve">   a. Loan Participations</t>
  </si>
  <si>
    <t>30% Decrease in Uninsured Deposits</t>
  </si>
  <si>
    <t xml:space="preserve">   b. Investment Securities</t>
  </si>
  <si>
    <t>10% Decrease in Other Deposits</t>
  </si>
  <si>
    <t xml:space="preserve">   c. Other (detail)</t>
  </si>
  <si>
    <t>100% Loss of Unsecured Borrowing</t>
  </si>
  <si>
    <t>(3) Anticipated Deposit Delicnes</t>
  </si>
  <si>
    <t xml:space="preserve">    a. Uninsured Deposits &gt;$250M</t>
  </si>
  <si>
    <t>Asset/Liability Officers will meet and monitor daily.</t>
  </si>
  <si>
    <t xml:space="preserve">    b. Seasonal Deposit Declines</t>
  </si>
  <si>
    <t>1. Management will begin immediate steps to raise CAMELS rating.</t>
  </si>
  <si>
    <t xml:space="preserve">    c. Other (explain)</t>
  </si>
  <si>
    <t xml:space="preserve">2. Will review investments/CD maturing to determine if there will be sufficient </t>
  </si>
  <si>
    <t>investments maturing to elininate the liquidity problem in the near future.</t>
  </si>
  <si>
    <t>TOTAL SECTION A</t>
  </si>
  <si>
    <t>3. Will consider borrowing from FHLB with longer maturities if possible.</t>
  </si>
  <si>
    <t>4. Will assess what investments to liquidate if neede to raise liquidity.</t>
  </si>
  <si>
    <t>Section B</t>
  </si>
  <si>
    <t>Scenario #3</t>
  </si>
  <si>
    <t>Combination of Scenario #1 and #2.</t>
  </si>
  <si>
    <t>ANTICIPATED SOURCES</t>
  </si>
  <si>
    <t>(1) Cash &amp; Due from Banks</t>
  </si>
  <si>
    <t>(2) Anticipated Loan Paydown</t>
  </si>
  <si>
    <t>(3) Investment Maturities/Calls</t>
  </si>
  <si>
    <t>(4) Anticipated Deposit Increases</t>
  </si>
  <si>
    <t>(5) Fed Funds Sold/Purchases</t>
  </si>
  <si>
    <t>(6) Federal Home Loan Advances</t>
  </si>
  <si>
    <t>(7) Sale of Unpledged Securites</t>
  </si>
  <si>
    <t>(8) Other (detail) Brokered CD's</t>
  </si>
  <si>
    <t>TOTAL SECTION B</t>
  </si>
  <si>
    <t>Net</t>
  </si>
  <si>
    <t>ANTICIPATED SOURCES TIME LINE</t>
  </si>
  <si>
    <t>Immediate</t>
  </si>
  <si>
    <t>30 Days</t>
  </si>
  <si>
    <t>60 Days</t>
  </si>
  <si>
    <t>90 Days</t>
  </si>
  <si>
    <t>Total</t>
  </si>
  <si>
    <t>TOTAL</t>
  </si>
  <si>
    <t>3.  Federal Home Loan Bank Advances (current available $X,XXX)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</si>
</sst>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10"/>
      <name val="Arial"/>
      <family val="2"/>
    </font>
    <font>
      <u val="singleAccounting"/>
      <sz val="9"/>
      <name val="Arial Narrow"/>
      <family val="2"/>
    </font>
    <font>
      <b/>
      <sz val="9"/>
      <name val="Arial Narrow"/>
      <family val="2"/>
    </font>
    <font>
      <u/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2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/>
    <xf numFmtId="10" fontId="2" fillId="0" borderId="0" xfId="2" applyNumberFormat="1" applyFont="1"/>
    <xf numFmtId="164" fontId="4" fillId="0" borderId="0" xfId="1" applyNumberFormat="1" applyFont="1"/>
    <xf numFmtId="164" fontId="5" fillId="0" borderId="0" xfId="1" applyNumberFormat="1" applyFont="1"/>
    <xf numFmtId="164" fontId="6" fillId="0" borderId="0" xfId="1" applyNumberFormat="1" applyFont="1"/>
    <xf numFmtId="164" fontId="5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left"/>
    </xf>
    <xf numFmtId="0" fontId="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abSelected="1" topLeftCell="A66" workbookViewId="0">
      <selection activeCell="J90" sqref="J90"/>
    </sheetView>
  </sheetViews>
  <sheetFormatPr defaultRowHeight="15" x14ac:dyDescent="0.25"/>
  <cols>
    <col min="5" max="5" width="30.42578125" customWidth="1"/>
  </cols>
  <sheetData>
    <row r="1" spans="1:11" x14ac:dyDescent="0.25">
      <c r="A1" s="1" t="s">
        <v>0</v>
      </c>
      <c r="B1" s="2">
        <v>41670</v>
      </c>
      <c r="C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3" t="s">
        <v>1</v>
      </c>
      <c r="G2" s="4" t="s">
        <v>2</v>
      </c>
      <c r="H2" s="3" t="s">
        <v>3</v>
      </c>
      <c r="I2" s="3" t="s">
        <v>2</v>
      </c>
      <c r="J2" s="3" t="s">
        <v>4</v>
      </c>
      <c r="K2" s="3" t="s">
        <v>2</v>
      </c>
    </row>
    <row r="3" spans="1:11" x14ac:dyDescent="0.25">
      <c r="A3" s="1"/>
      <c r="B3" s="1"/>
      <c r="C3" s="1"/>
      <c r="D3" s="1" t="s">
        <v>5</v>
      </c>
      <c r="E3" s="1"/>
      <c r="F3" s="3" t="s">
        <v>6</v>
      </c>
      <c r="G3" s="3" t="s">
        <v>7</v>
      </c>
      <c r="H3" s="3" t="s">
        <v>8</v>
      </c>
      <c r="I3" s="3" t="s">
        <v>7</v>
      </c>
      <c r="J3" s="3" t="s">
        <v>9</v>
      </c>
      <c r="K3" s="3" t="s">
        <v>7</v>
      </c>
    </row>
    <row r="4" spans="1:11" x14ac:dyDescent="0.25">
      <c r="A4" s="5"/>
      <c r="B4" s="5"/>
      <c r="C4" s="5"/>
      <c r="D4" s="5"/>
      <c r="E4" s="5"/>
      <c r="F4" s="6" t="s">
        <v>10</v>
      </c>
      <c r="G4" s="6"/>
      <c r="H4" s="6"/>
      <c r="I4" s="7">
        <v>34553</v>
      </c>
      <c r="J4" s="6"/>
      <c r="K4" s="6"/>
    </row>
    <row r="5" spans="1:11" x14ac:dyDescent="0.25">
      <c r="A5" s="5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 t="s">
        <v>12</v>
      </c>
      <c r="C6" s="5"/>
      <c r="D6" s="5"/>
      <c r="E6" s="5"/>
      <c r="F6" s="5" t="s">
        <v>13</v>
      </c>
      <c r="G6" s="5" t="s">
        <v>13</v>
      </c>
      <c r="H6" s="8">
        <v>29266</v>
      </c>
      <c r="I6" s="9">
        <f>+H6/I4</f>
        <v>0.84698868405058891</v>
      </c>
      <c r="J6" s="5"/>
      <c r="K6" s="5" t="s">
        <v>13</v>
      </c>
    </row>
    <row r="7" spans="1:11" x14ac:dyDescent="0.25">
      <c r="A7" s="5" t="s">
        <v>14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 t="s">
        <v>15</v>
      </c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 t="s">
        <v>16</v>
      </c>
      <c r="D9" s="5"/>
      <c r="E9" s="5"/>
      <c r="F9" s="5">
        <v>1408</v>
      </c>
      <c r="G9" s="9">
        <f>+F9/$I$4</f>
        <v>4.0748994298613721E-2</v>
      </c>
      <c r="H9" s="5">
        <v>0</v>
      </c>
      <c r="I9" s="9">
        <f>+H9/$I$4</f>
        <v>0</v>
      </c>
      <c r="J9" s="5">
        <f>+F9-H9</f>
        <v>1408</v>
      </c>
      <c r="K9" s="9">
        <f>+J9/$I$4</f>
        <v>4.0748994298613721E-2</v>
      </c>
    </row>
    <row r="10" spans="1:11" x14ac:dyDescent="0.25">
      <c r="A10" s="5"/>
      <c r="B10" s="5"/>
      <c r="C10" s="5" t="s">
        <v>17</v>
      </c>
      <c r="D10" s="5"/>
      <c r="E10" s="5"/>
      <c r="F10" s="5">
        <v>0</v>
      </c>
      <c r="G10" s="9">
        <f t="shared" ref="G10:G29" si="0">+F10/$I$4</f>
        <v>0</v>
      </c>
      <c r="H10" s="5">
        <v>0</v>
      </c>
      <c r="I10" s="9">
        <f t="shared" ref="I10:I29" si="1">+H10/$I$4</f>
        <v>0</v>
      </c>
      <c r="J10" s="5">
        <f t="shared" ref="J10:J22" si="2">+F10-H10</f>
        <v>0</v>
      </c>
      <c r="K10" s="9">
        <f t="shared" ref="K10:K29" si="3">+J10/$I$4</f>
        <v>0</v>
      </c>
    </row>
    <row r="11" spans="1:11" ht="17.25" x14ac:dyDescent="0.4">
      <c r="A11" s="5"/>
      <c r="B11" s="5"/>
      <c r="C11" s="5" t="s">
        <v>104</v>
      </c>
      <c r="D11" s="5"/>
      <c r="E11" s="5"/>
      <c r="F11" s="10">
        <v>7117</v>
      </c>
      <c r="G11" s="9">
        <f t="shared" si="0"/>
        <v>0.20597343211877406</v>
      </c>
      <c r="H11" s="10">
        <v>1405</v>
      </c>
      <c r="I11" s="9">
        <f t="shared" si="1"/>
        <v>4.0662171157352475E-2</v>
      </c>
      <c r="J11" s="10">
        <f t="shared" si="2"/>
        <v>5712</v>
      </c>
      <c r="K11" s="9">
        <f t="shared" si="3"/>
        <v>0.1653112609614216</v>
      </c>
    </row>
    <row r="12" spans="1:11" x14ac:dyDescent="0.25">
      <c r="A12" s="5"/>
      <c r="B12" s="5" t="s">
        <v>18</v>
      </c>
      <c r="C12" s="5"/>
      <c r="D12" s="5"/>
      <c r="E12" s="5"/>
      <c r="F12" s="5">
        <f>SUM(F9:F11)</f>
        <v>8525</v>
      </c>
      <c r="G12" s="9">
        <f t="shared" si="0"/>
        <v>0.24672242641738779</v>
      </c>
      <c r="H12" s="5">
        <f>SUM(H9:H11)</f>
        <v>1405</v>
      </c>
      <c r="I12" s="9">
        <f t="shared" si="1"/>
        <v>4.0662171157352475E-2</v>
      </c>
      <c r="J12" s="5">
        <f>SUM(J9:J11)</f>
        <v>7120</v>
      </c>
      <c r="K12" s="9">
        <f t="shared" si="3"/>
        <v>0.2060602552600353</v>
      </c>
    </row>
    <row r="13" spans="1:11" x14ac:dyDescent="0.25">
      <c r="A13" s="5"/>
      <c r="B13" s="5" t="s">
        <v>19</v>
      </c>
      <c r="C13" s="5"/>
      <c r="D13" s="5"/>
      <c r="E13" s="5"/>
      <c r="F13" s="5">
        <v>0</v>
      </c>
      <c r="G13" s="9">
        <f t="shared" si="0"/>
        <v>0</v>
      </c>
      <c r="H13" s="5">
        <v>0</v>
      </c>
      <c r="I13" s="9">
        <f t="shared" si="1"/>
        <v>0</v>
      </c>
      <c r="J13" s="5">
        <f>+F13</f>
        <v>0</v>
      </c>
      <c r="K13" s="9">
        <f t="shared" si="3"/>
        <v>0</v>
      </c>
    </row>
    <row r="14" spans="1:11" x14ac:dyDescent="0.25">
      <c r="A14" s="5"/>
      <c r="B14" s="5"/>
      <c r="C14" s="5"/>
      <c r="D14" s="5"/>
      <c r="E14" s="5"/>
      <c r="F14" s="5"/>
      <c r="G14" s="9"/>
      <c r="H14" s="5"/>
      <c r="I14" s="9"/>
      <c r="J14" s="5"/>
      <c r="K14" s="9"/>
    </row>
    <row r="15" spans="1:11" x14ac:dyDescent="0.25">
      <c r="A15" s="5" t="s">
        <v>20</v>
      </c>
      <c r="B15" s="5"/>
      <c r="C15" s="5"/>
      <c r="D15" s="5"/>
      <c r="E15" s="5"/>
      <c r="F15" s="5"/>
      <c r="G15" s="9"/>
      <c r="H15" s="5"/>
      <c r="I15" s="9"/>
      <c r="J15" s="5"/>
      <c r="K15" s="9"/>
    </row>
    <row r="16" spans="1:11" x14ac:dyDescent="0.25">
      <c r="A16" s="5"/>
      <c r="B16" s="5" t="s">
        <v>21</v>
      </c>
      <c r="C16" s="5"/>
      <c r="D16" s="5"/>
      <c r="E16" s="5"/>
      <c r="F16" s="5"/>
      <c r="G16" s="9"/>
      <c r="H16" s="5"/>
      <c r="I16" s="9"/>
      <c r="J16" s="5"/>
      <c r="K16" s="9"/>
    </row>
    <row r="17" spans="1:11" x14ac:dyDescent="0.25">
      <c r="A17" s="5"/>
      <c r="B17" s="5"/>
      <c r="C17" s="5" t="s">
        <v>22</v>
      </c>
      <c r="D17" s="5"/>
      <c r="E17" s="5"/>
      <c r="F17" s="5">
        <v>1500</v>
      </c>
      <c r="G17" s="9">
        <f t="shared" si="0"/>
        <v>4.3411570630625416E-2</v>
      </c>
      <c r="H17" s="5">
        <v>0</v>
      </c>
      <c r="I17" s="9">
        <f t="shared" si="1"/>
        <v>0</v>
      </c>
      <c r="J17" s="5">
        <f t="shared" si="2"/>
        <v>1500</v>
      </c>
      <c r="K17" s="9">
        <f t="shared" si="3"/>
        <v>4.3411570630625416E-2</v>
      </c>
    </row>
    <row r="18" spans="1:11" ht="17.25" x14ac:dyDescent="0.4">
      <c r="A18" s="5"/>
      <c r="B18" s="5"/>
      <c r="C18" s="5" t="s">
        <v>23</v>
      </c>
      <c r="D18" s="5"/>
      <c r="E18" s="5"/>
      <c r="F18" s="10">
        <v>0</v>
      </c>
      <c r="G18" s="9">
        <f t="shared" si="0"/>
        <v>0</v>
      </c>
      <c r="H18" s="10">
        <v>0</v>
      </c>
      <c r="I18" s="9">
        <f t="shared" si="1"/>
        <v>0</v>
      </c>
      <c r="J18" s="10">
        <f t="shared" si="2"/>
        <v>0</v>
      </c>
      <c r="K18" s="9">
        <f t="shared" si="3"/>
        <v>0</v>
      </c>
    </row>
    <row r="19" spans="1:11" x14ac:dyDescent="0.25">
      <c r="A19" s="5"/>
      <c r="B19" s="5" t="s">
        <v>24</v>
      </c>
      <c r="C19" s="5"/>
      <c r="D19" s="5"/>
      <c r="E19" s="5"/>
      <c r="F19" s="5">
        <f>SUM(F17:F18)</f>
        <v>1500</v>
      </c>
      <c r="G19" s="9">
        <f t="shared" si="0"/>
        <v>4.3411570630625416E-2</v>
      </c>
      <c r="H19" s="5">
        <f>SUM(H17:H18)</f>
        <v>0</v>
      </c>
      <c r="I19" s="9">
        <f t="shared" si="1"/>
        <v>0</v>
      </c>
      <c r="J19" s="5">
        <f t="shared" si="2"/>
        <v>1500</v>
      </c>
      <c r="K19" s="9">
        <f t="shared" si="3"/>
        <v>4.3411570630625416E-2</v>
      </c>
    </row>
    <row r="20" spans="1:11" x14ac:dyDescent="0.25">
      <c r="A20" s="5"/>
      <c r="B20" s="5"/>
      <c r="C20" s="5"/>
      <c r="D20" s="5"/>
      <c r="E20" s="5"/>
      <c r="F20" s="5"/>
      <c r="G20" s="9"/>
      <c r="H20" s="5"/>
      <c r="I20" s="9"/>
      <c r="J20" s="5"/>
      <c r="K20" s="9"/>
    </row>
    <row r="21" spans="1:11" x14ac:dyDescent="0.25">
      <c r="A21" s="5" t="s">
        <v>25</v>
      </c>
      <c r="B21" s="5"/>
      <c r="C21" s="5"/>
      <c r="D21" s="5"/>
      <c r="E21" s="5"/>
      <c r="F21" s="5"/>
      <c r="G21" s="9"/>
      <c r="H21" s="5"/>
      <c r="I21" s="9"/>
      <c r="J21" s="5"/>
      <c r="K21" s="9"/>
    </row>
    <row r="22" spans="1:11" x14ac:dyDescent="0.25">
      <c r="A22" s="5"/>
      <c r="B22" s="5" t="s">
        <v>26</v>
      </c>
      <c r="C22" s="5"/>
      <c r="D22" s="5"/>
      <c r="E22" s="11"/>
      <c r="F22" s="5">
        <v>3802</v>
      </c>
      <c r="G22" s="9">
        <f t="shared" si="0"/>
        <v>0.11003386102509188</v>
      </c>
      <c r="H22" s="5">
        <v>0</v>
      </c>
      <c r="I22" s="9">
        <f t="shared" si="1"/>
        <v>0</v>
      </c>
      <c r="J22" s="5">
        <f t="shared" si="2"/>
        <v>3802</v>
      </c>
      <c r="K22" s="9">
        <f t="shared" si="3"/>
        <v>0.11003386102509188</v>
      </c>
    </row>
    <row r="23" spans="1:11" x14ac:dyDescent="0.25">
      <c r="A23" s="5"/>
      <c r="B23" s="5" t="s">
        <v>27</v>
      </c>
      <c r="C23" s="5"/>
      <c r="D23" s="5"/>
      <c r="E23" s="5"/>
      <c r="F23" s="5">
        <v>0</v>
      </c>
      <c r="G23" s="9">
        <f t="shared" si="0"/>
        <v>0</v>
      </c>
      <c r="H23" s="5">
        <v>0</v>
      </c>
      <c r="I23" s="9">
        <f t="shared" si="1"/>
        <v>0</v>
      </c>
      <c r="J23" s="5">
        <f>+F23-H23</f>
        <v>0</v>
      </c>
      <c r="K23" s="9">
        <f t="shared" si="3"/>
        <v>0</v>
      </c>
    </row>
    <row r="24" spans="1:11" x14ac:dyDescent="0.25">
      <c r="A24" s="5"/>
      <c r="B24" s="5" t="s">
        <v>28</v>
      </c>
      <c r="C24" s="5"/>
      <c r="D24" s="5"/>
      <c r="E24" s="5"/>
      <c r="F24" s="5">
        <v>0</v>
      </c>
      <c r="G24" s="9">
        <f t="shared" si="0"/>
        <v>0</v>
      </c>
      <c r="H24" s="5">
        <v>0</v>
      </c>
      <c r="I24" s="9">
        <f t="shared" si="1"/>
        <v>0</v>
      </c>
      <c r="J24" s="5">
        <f>+F24-H24</f>
        <v>0</v>
      </c>
      <c r="K24" s="9">
        <f t="shared" si="3"/>
        <v>0</v>
      </c>
    </row>
    <row r="25" spans="1:11" x14ac:dyDescent="0.25">
      <c r="A25" s="5"/>
      <c r="B25" s="5" t="s">
        <v>29</v>
      </c>
      <c r="C25" s="5"/>
      <c r="D25" s="5"/>
      <c r="E25" s="5"/>
      <c r="F25" s="5">
        <v>0</v>
      </c>
      <c r="G25" s="9">
        <f t="shared" si="0"/>
        <v>0</v>
      </c>
      <c r="H25" s="5">
        <v>0</v>
      </c>
      <c r="I25" s="9">
        <f t="shared" si="1"/>
        <v>0</v>
      </c>
      <c r="J25" s="5">
        <f>+F25-H25</f>
        <v>0</v>
      </c>
      <c r="K25" s="9">
        <f t="shared" si="3"/>
        <v>0</v>
      </c>
    </row>
    <row r="26" spans="1:11" x14ac:dyDescent="0.25">
      <c r="A26" s="5"/>
      <c r="B26" s="5" t="s">
        <v>30</v>
      </c>
      <c r="C26" s="5"/>
      <c r="D26" s="5"/>
      <c r="E26" s="5"/>
      <c r="F26" s="12">
        <v>0</v>
      </c>
      <c r="G26" s="9">
        <f t="shared" si="0"/>
        <v>0</v>
      </c>
      <c r="H26" s="12">
        <v>0</v>
      </c>
      <c r="I26" s="9">
        <f t="shared" si="1"/>
        <v>0</v>
      </c>
      <c r="J26" s="12">
        <f>+F26-H26</f>
        <v>0</v>
      </c>
      <c r="K26" s="9">
        <f t="shared" si="3"/>
        <v>0</v>
      </c>
    </row>
    <row r="27" spans="1:11" x14ac:dyDescent="0.25">
      <c r="A27" s="5"/>
      <c r="B27" s="5" t="s">
        <v>31</v>
      </c>
      <c r="C27" s="5"/>
      <c r="D27" s="5"/>
      <c r="E27" s="5"/>
      <c r="F27" s="5">
        <f>SUM(F22:F26)</f>
        <v>3802</v>
      </c>
      <c r="G27" s="9">
        <f t="shared" si="0"/>
        <v>0.11003386102509188</v>
      </c>
      <c r="H27" s="5">
        <v>0</v>
      </c>
      <c r="I27" s="9">
        <f t="shared" si="1"/>
        <v>0</v>
      </c>
      <c r="J27" s="5">
        <f>+F27-H27</f>
        <v>3802</v>
      </c>
      <c r="K27" s="9">
        <f t="shared" si="3"/>
        <v>0.11003386102509188</v>
      </c>
    </row>
    <row r="28" spans="1:11" x14ac:dyDescent="0.25">
      <c r="A28" s="5"/>
      <c r="B28" s="5"/>
      <c r="C28" s="5"/>
      <c r="D28" s="5"/>
      <c r="E28" s="5"/>
      <c r="F28" s="5"/>
      <c r="G28" s="9"/>
      <c r="H28" s="5"/>
      <c r="I28" s="9"/>
      <c r="J28" s="5"/>
      <c r="K28" s="9"/>
    </row>
    <row r="29" spans="1:11" x14ac:dyDescent="0.25">
      <c r="A29" s="11" t="s">
        <v>32</v>
      </c>
      <c r="B29" s="5"/>
      <c r="C29" s="5"/>
      <c r="D29" s="5"/>
      <c r="E29" s="5"/>
      <c r="F29" s="5">
        <f>+F12+F13+F19+F27</f>
        <v>13827</v>
      </c>
      <c r="G29" s="9">
        <f t="shared" si="0"/>
        <v>0.40016785807310506</v>
      </c>
      <c r="H29" s="5">
        <f>+H12+H19+H27-H13</f>
        <v>1405</v>
      </c>
      <c r="I29" s="9">
        <f t="shared" si="1"/>
        <v>4.0662171157352475E-2</v>
      </c>
      <c r="J29" s="5">
        <f>+F29-H29</f>
        <v>12422</v>
      </c>
      <c r="K29" s="9">
        <f t="shared" si="3"/>
        <v>0.35950568691575263</v>
      </c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 t="s">
        <v>33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5">
      <c r="A32" s="5" t="s">
        <v>34</v>
      </c>
      <c r="B32" s="5"/>
      <c r="C32" s="5"/>
      <c r="D32" s="5"/>
      <c r="E32" s="5"/>
      <c r="F32" s="13" t="s">
        <v>3</v>
      </c>
      <c r="G32" s="13" t="s">
        <v>35</v>
      </c>
      <c r="H32" s="13"/>
      <c r="I32" s="13" t="s">
        <v>36</v>
      </c>
      <c r="J32" s="13"/>
      <c r="K32" s="13" t="s">
        <v>37</v>
      </c>
    </row>
    <row r="33" spans="1:11" x14ac:dyDescent="0.25">
      <c r="A33" s="5" t="s">
        <v>38</v>
      </c>
      <c r="B33" s="5"/>
      <c r="C33" s="5"/>
      <c r="D33" s="14" t="s">
        <v>39</v>
      </c>
      <c r="E33" s="5"/>
      <c r="F33" s="5"/>
      <c r="G33" s="5"/>
      <c r="H33" s="5"/>
      <c r="I33" s="5"/>
      <c r="J33" s="5"/>
      <c r="K33" s="5"/>
    </row>
    <row r="34" spans="1:11" x14ac:dyDescent="0.25">
      <c r="A34" s="5"/>
      <c r="B34" s="5"/>
      <c r="C34" s="5"/>
      <c r="D34" s="5" t="s">
        <v>40</v>
      </c>
      <c r="E34" s="5"/>
      <c r="F34" s="5">
        <v>7527</v>
      </c>
      <c r="G34" s="5"/>
      <c r="H34" s="5"/>
      <c r="I34" s="5"/>
      <c r="J34" s="5"/>
      <c r="K34" s="5"/>
    </row>
    <row r="35" spans="1:11" x14ac:dyDescent="0.25">
      <c r="A35" s="5" t="s">
        <v>41</v>
      </c>
      <c r="B35" s="5"/>
      <c r="C35" s="5"/>
      <c r="D35" s="5" t="s">
        <v>42</v>
      </c>
      <c r="E35" s="5"/>
      <c r="F35" s="5">
        <v>18512</v>
      </c>
      <c r="G35" s="5">
        <f>+F35*0.1+F35</f>
        <v>20363.2</v>
      </c>
      <c r="H35" s="5"/>
      <c r="I35" s="5">
        <f>+F35</f>
        <v>18512</v>
      </c>
      <c r="J35" s="5"/>
      <c r="K35" s="5">
        <f>+G35</f>
        <v>20363.2</v>
      </c>
    </row>
    <row r="36" spans="1:11" x14ac:dyDescent="0.25">
      <c r="A36" s="5" t="s">
        <v>43</v>
      </c>
      <c r="B36" s="5"/>
      <c r="C36" s="5"/>
      <c r="D36" s="5" t="s">
        <v>44</v>
      </c>
      <c r="E36" s="5"/>
      <c r="F36" s="5">
        <v>4682</v>
      </c>
      <c r="G36" s="5">
        <v>0</v>
      </c>
      <c r="H36" s="5"/>
      <c r="I36" s="5">
        <v>0</v>
      </c>
      <c r="J36" s="5"/>
      <c r="K36" s="5">
        <v>0</v>
      </c>
    </row>
    <row r="37" spans="1:11" x14ac:dyDescent="0.25">
      <c r="A37" s="5" t="s">
        <v>45</v>
      </c>
      <c r="B37" s="5"/>
      <c r="C37" s="5"/>
      <c r="D37" s="5" t="s">
        <v>46</v>
      </c>
      <c r="E37" s="5"/>
      <c r="F37" s="5">
        <v>0</v>
      </c>
      <c r="G37" s="5">
        <v>0</v>
      </c>
      <c r="H37" s="5"/>
      <c r="I37" s="5">
        <v>0</v>
      </c>
      <c r="J37" s="5"/>
      <c r="K37" s="5">
        <v>0</v>
      </c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5">
      <c r="A39" s="11" t="s">
        <v>47</v>
      </c>
      <c r="B39" s="5"/>
      <c r="C39" s="5"/>
      <c r="D39" s="5" t="s">
        <v>48</v>
      </c>
      <c r="E39" s="5"/>
      <c r="F39" s="5"/>
      <c r="G39" s="5"/>
      <c r="H39" s="5"/>
      <c r="I39" s="5"/>
      <c r="J39" s="5"/>
      <c r="K39" s="5"/>
    </row>
    <row r="40" spans="1:11" x14ac:dyDescent="0.25">
      <c r="A40" s="5" t="s">
        <v>49</v>
      </c>
      <c r="B40" s="5"/>
      <c r="C40" s="5"/>
      <c r="D40" s="5" t="s">
        <v>50</v>
      </c>
      <c r="E40" s="5"/>
      <c r="F40" s="5">
        <v>3813</v>
      </c>
      <c r="G40" s="5">
        <f>+F40+F40*-0.05</f>
        <v>3622.35</v>
      </c>
      <c r="H40" s="15"/>
      <c r="I40" s="5">
        <f>+F40+F40*-0.3</f>
        <v>2669.1000000000004</v>
      </c>
      <c r="J40" s="5"/>
      <c r="K40" s="5">
        <f>+I40</f>
        <v>2669.1000000000004</v>
      </c>
    </row>
    <row r="41" spans="1:11" x14ac:dyDescent="0.25">
      <c r="A41" s="5" t="s">
        <v>51</v>
      </c>
      <c r="B41" s="5"/>
      <c r="C41" s="5"/>
      <c r="D41" s="5" t="s">
        <v>52</v>
      </c>
      <c r="E41" s="5"/>
      <c r="F41" s="5">
        <v>24273</v>
      </c>
      <c r="G41" s="5">
        <f>+F41+F41*-0.05</f>
        <v>23059.35</v>
      </c>
      <c r="I41" s="5">
        <f>+F41+F41*-0.1</f>
        <v>21845.7</v>
      </c>
      <c r="J41" s="5"/>
      <c r="K41" s="5">
        <f>+I41</f>
        <v>21845.7</v>
      </c>
    </row>
    <row r="42" spans="1:11" x14ac:dyDescent="0.25">
      <c r="A42" s="5" t="s">
        <v>53</v>
      </c>
      <c r="B42" s="5"/>
      <c r="C42" s="5"/>
      <c r="D42" s="5" t="s">
        <v>54</v>
      </c>
      <c r="E42" s="5"/>
      <c r="F42" s="5">
        <v>0</v>
      </c>
      <c r="G42" s="5">
        <v>0</v>
      </c>
      <c r="H42" s="5"/>
      <c r="I42" s="5">
        <v>0</v>
      </c>
      <c r="J42" s="5"/>
      <c r="K42" s="5">
        <v>0</v>
      </c>
    </row>
    <row r="43" spans="1:11" x14ac:dyDescent="0.25">
      <c r="A43" s="5" t="s">
        <v>55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5">
      <c r="A44" s="5" t="s">
        <v>56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5">
      <c r="B45" s="5"/>
      <c r="C45" s="5"/>
      <c r="D45" s="11" t="s">
        <v>57</v>
      </c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11" t="s">
        <v>58</v>
      </c>
      <c r="E46" s="5"/>
      <c r="F46" s="5"/>
      <c r="G46" s="5"/>
      <c r="H46" s="5"/>
      <c r="I46" s="5"/>
      <c r="J46" s="5"/>
      <c r="K46" s="5"/>
    </row>
    <row r="47" spans="1:11" x14ac:dyDescent="0.25">
      <c r="A47" s="5" t="s">
        <v>59</v>
      </c>
      <c r="B47" s="5"/>
      <c r="C47" s="5"/>
      <c r="D47" s="5" t="s">
        <v>60</v>
      </c>
      <c r="E47" s="5"/>
      <c r="F47" s="5"/>
      <c r="G47" s="5"/>
      <c r="H47" s="5"/>
      <c r="I47" s="5"/>
      <c r="J47" s="5"/>
      <c r="K47" s="5"/>
    </row>
    <row r="48" spans="1:11" x14ac:dyDescent="0.25">
      <c r="A48" s="5" t="s">
        <v>61</v>
      </c>
      <c r="B48" s="5"/>
      <c r="C48" s="5"/>
      <c r="D48" s="5" t="s">
        <v>62</v>
      </c>
      <c r="E48" s="5"/>
      <c r="F48" s="5"/>
      <c r="G48" s="5">
        <f>+G35-F35</f>
        <v>1851.2000000000007</v>
      </c>
      <c r="H48" s="5"/>
      <c r="I48" s="5">
        <f>+I35-F35</f>
        <v>0</v>
      </c>
      <c r="J48" s="5"/>
      <c r="K48" s="5">
        <f>+K35-F35</f>
        <v>1851.2000000000007</v>
      </c>
    </row>
    <row r="49" spans="1:11" x14ac:dyDescent="0.25">
      <c r="A49" s="5"/>
      <c r="B49" s="5"/>
      <c r="C49" s="5"/>
      <c r="D49" s="5" t="s">
        <v>63</v>
      </c>
      <c r="E49" s="5"/>
      <c r="F49" s="5"/>
      <c r="G49" s="5" t="s">
        <v>64</v>
      </c>
      <c r="H49" s="5"/>
      <c r="I49" s="5" t="s">
        <v>64</v>
      </c>
      <c r="J49" s="5"/>
      <c r="K49" s="5" t="s">
        <v>64</v>
      </c>
    </row>
    <row r="50" spans="1:11" x14ac:dyDescent="0.25">
      <c r="A50" s="5" t="s">
        <v>65</v>
      </c>
      <c r="B50" s="5"/>
      <c r="C50" s="5"/>
      <c r="D50" s="5" t="s">
        <v>66</v>
      </c>
      <c r="E50" s="5"/>
      <c r="F50" s="5"/>
      <c r="G50" s="5">
        <v>0</v>
      </c>
      <c r="H50" s="5"/>
      <c r="I50" s="5">
        <v>0</v>
      </c>
      <c r="J50" s="5"/>
      <c r="K50" s="5">
        <v>0</v>
      </c>
    </row>
    <row r="51" spans="1:11" x14ac:dyDescent="0.25">
      <c r="A51" s="5" t="s">
        <v>67</v>
      </c>
      <c r="B51" s="5"/>
      <c r="C51" s="5"/>
      <c r="D51" s="5" t="s">
        <v>68</v>
      </c>
      <c r="E51" s="5"/>
      <c r="F51" s="5"/>
      <c r="G51" s="5">
        <v>0</v>
      </c>
      <c r="H51" s="5"/>
      <c r="I51" s="5">
        <v>0</v>
      </c>
      <c r="J51" s="5"/>
      <c r="K51" s="5">
        <v>0</v>
      </c>
    </row>
    <row r="52" spans="1:11" x14ac:dyDescent="0.25">
      <c r="A52" s="5" t="s">
        <v>69</v>
      </c>
      <c r="B52" s="5"/>
      <c r="C52" s="5"/>
      <c r="D52" s="5" t="s">
        <v>70</v>
      </c>
      <c r="E52" s="5"/>
      <c r="F52" s="5"/>
      <c r="G52" s="5">
        <v>0</v>
      </c>
      <c r="H52" s="5"/>
      <c r="I52" s="5">
        <v>0</v>
      </c>
      <c r="J52" s="5"/>
      <c r="K52" s="5">
        <v>0</v>
      </c>
    </row>
    <row r="53" spans="1:11" x14ac:dyDescent="0.25">
      <c r="A53" s="5" t="s">
        <v>71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5">
      <c r="A54" s="5"/>
      <c r="B54" s="5"/>
      <c r="C54" s="5"/>
      <c r="D54" s="5" t="s">
        <v>72</v>
      </c>
      <c r="E54" s="5"/>
      <c r="F54" s="5"/>
      <c r="G54" s="5"/>
      <c r="H54" s="5"/>
      <c r="I54" s="5"/>
      <c r="J54" s="5"/>
      <c r="K54" s="5"/>
    </row>
    <row r="55" spans="1:11" x14ac:dyDescent="0.25">
      <c r="A55" s="11" t="s">
        <v>47</v>
      </c>
      <c r="B55" s="5"/>
      <c r="C55" s="5"/>
      <c r="D55" s="5" t="s">
        <v>73</v>
      </c>
      <c r="E55" s="5"/>
      <c r="F55" s="5"/>
      <c r="G55" s="5">
        <f>+F40-G40</f>
        <v>190.65000000000009</v>
      </c>
      <c r="H55" s="5"/>
      <c r="I55" s="5">
        <f>+F40-I40</f>
        <v>1143.8999999999996</v>
      </c>
      <c r="J55" s="5"/>
      <c r="K55" s="5">
        <f>+F40-K40</f>
        <v>1143.8999999999996</v>
      </c>
    </row>
    <row r="56" spans="1:11" x14ac:dyDescent="0.25">
      <c r="A56" s="5" t="s">
        <v>74</v>
      </c>
      <c r="B56" s="5"/>
      <c r="C56" s="5"/>
      <c r="D56" s="5" t="s">
        <v>75</v>
      </c>
      <c r="E56" s="5"/>
      <c r="F56" s="5"/>
      <c r="G56" s="5">
        <f>+F41-G41</f>
        <v>1213.6500000000015</v>
      </c>
      <c r="H56" s="5"/>
      <c r="I56" s="5">
        <f>+F41-I41</f>
        <v>2427.2999999999993</v>
      </c>
      <c r="J56" s="5"/>
      <c r="K56" s="5">
        <f>+F41-K41</f>
        <v>2427.2999999999993</v>
      </c>
    </row>
    <row r="57" spans="1:11" x14ac:dyDescent="0.25">
      <c r="A57" s="5" t="s">
        <v>76</v>
      </c>
      <c r="B57" s="5"/>
      <c r="C57" s="5"/>
      <c r="D57" s="5" t="s">
        <v>77</v>
      </c>
      <c r="E57" s="5"/>
      <c r="F57" s="5"/>
      <c r="G57" s="5">
        <v>0</v>
      </c>
      <c r="H57" s="5"/>
      <c r="I57" s="5">
        <v>0</v>
      </c>
      <c r="J57" s="5"/>
      <c r="K57" s="5">
        <v>0</v>
      </c>
    </row>
    <row r="58" spans="1:11" x14ac:dyDescent="0.25">
      <c r="A58" s="5" t="s">
        <v>78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5" t="s">
        <v>79</v>
      </c>
      <c r="B59" s="5"/>
      <c r="C59" s="5"/>
      <c r="D59" s="11" t="s">
        <v>80</v>
      </c>
      <c r="E59" s="5"/>
      <c r="F59" s="5"/>
      <c r="G59" s="5">
        <f>SUM(G48:G57)</f>
        <v>3255.5000000000023</v>
      </c>
      <c r="H59" s="5"/>
      <c r="I59" s="5">
        <f>SUM(I48:I57)</f>
        <v>3571.1999999999989</v>
      </c>
      <c r="J59" s="5"/>
      <c r="K59" s="5">
        <f>SUM(K48:K57)</f>
        <v>5422.4</v>
      </c>
    </row>
    <row r="60" spans="1:11" x14ac:dyDescent="0.25">
      <c r="A60" s="5" t="s">
        <v>81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5" t="s">
        <v>82</v>
      </c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25">
      <c r="A63" s="5"/>
      <c r="B63" s="5"/>
      <c r="C63" s="5"/>
      <c r="D63" s="11" t="s">
        <v>83</v>
      </c>
      <c r="E63" s="5"/>
      <c r="F63" s="5"/>
      <c r="G63" s="5"/>
      <c r="H63" s="5"/>
      <c r="I63" s="5"/>
      <c r="J63" s="5"/>
      <c r="K63" s="5"/>
    </row>
    <row r="64" spans="1:11" x14ac:dyDescent="0.25">
      <c r="A64" s="5" t="s">
        <v>84</v>
      </c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5">
      <c r="A65" s="5" t="s">
        <v>85</v>
      </c>
      <c r="B65" s="5"/>
      <c r="C65" s="5"/>
      <c r="D65" s="5" t="s">
        <v>86</v>
      </c>
      <c r="E65" s="5"/>
      <c r="F65" s="5"/>
      <c r="G65" s="5"/>
      <c r="H65" s="5"/>
      <c r="I65" s="5"/>
      <c r="J65" s="5"/>
      <c r="K65" s="5"/>
    </row>
    <row r="66" spans="1:11" x14ac:dyDescent="0.25">
      <c r="A66" s="5" t="s">
        <v>41</v>
      </c>
      <c r="B66" s="5"/>
      <c r="C66" s="5"/>
      <c r="D66" s="5" t="s">
        <v>87</v>
      </c>
      <c r="E66" s="5"/>
      <c r="F66" s="5"/>
      <c r="G66" s="5">
        <v>0</v>
      </c>
      <c r="H66" s="5"/>
      <c r="I66" s="5">
        <v>0</v>
      </c>
      <c r="J66" s="5"/>
      <c r="K66" s="5">
        <v>0</v>
      </c>
    </row>
    <row r="67" spans="1:11" x14ac:dyDescent="0.25">
      <c r="A67" s="5" t="s">
        <v>67</v>
      </c>
      <c r="B67" s="5"/>
      <c r="C67" s="5"/>
      <c r="D67" s="5" t="s">
        <v>88</v>
      </c>
      <c r="E67" s="5"/>
      <c r="F67" s="5"/>
      <c r="G67" s="5">
        <v>0</v>
      </c>
      <c r="H67" s="5"/>
      <c r="I67" s="5">
        <v>0</v>
      </c>
      <c r="J67" s="5"/>
      <c r="K67" s="5">
        <v>0</v>
      </c>
    </row>
    <row r="68" spans="1:11" x14ac:dyDescent="0.25">
      <c r="A68" s="5" t="s">
        <v>69</v>
      </c>
      <c r="B68" s="5"/>
      <c r="C68" s="5"/>
      <c r="D68" s="5" t="s">
        <v>89</v>
      </c>
      <c r="E68" s="5"/>
      <c r="F68" s="5"/>
      <c r="G68" s="5">
        <v>0</v>
      </c>
      <c r="H68" s="5"/>
      <c r="I68" s="5">
        <v>0</v>
      </c>
      <c r="J68" s="5"/>
      <c r="K68" s="5">
        <v>0</v>
      </c>
    </row>
    <row r="69" spans="1:11" x14ac:dyDescent="0.25">
      <c r="A69" s="5" t="s">
        <v>71</v>
      </c>
      <c r="B69" s="5"/>
      <c r="C69" s="5"/>
      <c r="D69" s="5" t="s">
        <v>90</v>
      </c>
      <c r="E69" s="5"/>
      <c r="F69" s="5"/>
      <c r="G69" s="5">
        <v>0</v>
      </c>
      <c r="H69" s="5"/>
      <c r="I69" s="5">
        <v>0</v>
      </c>
      <c r="J69" s="5"/>
      <c r="K69" s="5"/>
    </row>
    <row r="70" spans="1:11" x14ac:dyDescent="0.25">
      <c r="A70" s="5"/>
      <c r="B70" s="5"/>
      <c r="C70" s="5"/>
      <c r="D70" s="5" t="s">
        <v>91</v>
      </c>
      <c r="E70" s="5"/>
      <c r="F70" s="5"/>
      <c r="G70" s="5">
        <v>0</v>
      </c>
      <c r="H70" s="5"/>
      <c r="I70" s="5">
        <v>0</v>
      </c>
      <c r="J70" s="5"/>
      <c r="K70" s="5">
        <v>0</v>
      </c>
    </row>
    <row r="71" spans="1:11" x14ac:dyDescent="0.25">
      <c r="A71" s="11" t="s">
        <v>47</v>
      </c>
      <c r="B71" s="5"/>
      <c r="C71" s="5"/>
      <c r="D71" s="5" t="s">
        <v>92</v>
      </c>
      <c r="E71" s="5"/>
      <c r="F71" s="5"/>
      <c r="G71" s="5">
        <v>3256</v>
      </c>
      <c r="H71" s="5"/>
      <c r="I71" s="5">
        <v>3571</v>
      </c>
      <c r="J71" s="5"/>
      <c r="K71" s="5">
        <v>5422</v>
      </c>
    </row>
    <row r="72" spans="1:11" x14ac:dyDescent="0.25">
      <c r="A72" s="5" t="s">
        <v>74</v>
      </c>
      <c r="B72" s="5"/>
      <c r="C72" s="5"/>
      <c r="D72" s="5" t="s">
        <v>93</v>
      </c>
      <c r="E72" s="5"/>
      <c r="F72" s="5"/>
      <c r="G72" s="5">
        <v>0</v>
      </c>
      <c r="H72" s="5"/>
      <c r="I72" s="5">
        <v>0</v>
      </c>
      <c r="J72" s="5"/>
      <c r="K72" s="5">
        <v>0</v>
      </c>
    </row>
    <row r="73" spans="1:11" x14ac:dyDescent="0.25">
      <c r="A73" s="5" t="s">
        <v>76</v>
      </c>
      <c r="B73" s="5"/>
      <c r="C73" s="5"/>
      <c r="D73" s="5" t="s">
        <v>94</v>
      </c>
      <c r="E73" s="5"/>
      <c r="F73" s="5"/>
      <c r="G73" s="5">
        <v>0</v>
      </c>
      <c r="H73" s="5"/>
      <c r="I73" s="5">
        <v>0</v>
      </c>
      <c r="J73" s="5"/>
      <c r="K73" s="5">
        <v>0</v>
      </c>
    </row>
    <row r="74" spans="1:11" x14ac:dyDescent="0.25">
      <c r="A74" s="5" t="s">
        <v>78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5">
      <c r="A75" s="5" t="s">
        <v>79</v>
      </c>
      <c r="B75" s="5"/>
      <c r="C75" s="5"/>
      <c r="D75" s="11" t="s">
        <v>95</v>
      </c>
      <c r="E75" s="5"/>
      <c r="F75" s="5"/>
      <c r="G75" s="5">
        <f>SUM(G66:G74)</f>
        <v>3256</v>
      </c>
      <c r="H75" s="5"/>
      <c r="I75" s="5">
        <f>SUM(I66:I74)</f>
        <v>3571</v>
      </c>
      <c r="J75" s="5"/>
      <c r="K75" s="5">
        <f>SUM(K66:K74)</f>
        <v>5422</v>
      </c>
    </row>
    <row r="76" spans="1:11" x14ac:dyDescent="0.25">
      <c r="A76" s="5" t="s">
        <v>81</v>
      </c>
      <c r="B76" s="5"/>
      <c r="C76" s="5"/>
      <c r="D76" s="5"/>
      <c r="E76" s="5"/>
      <c r="F76" s="5" t="s">
        <v>96</v>
      </c>
      <c r="G76" s="5">
        <f>+G59-G75</f>
        <v>-0.49999999999772626</v>
      </c>
      <c r="H76" s="5" t="s">
        <v>64</v>
      </c>
      <c r="I76" s="5">
        <f>+I59-I75</f>
        <v>0.19999999999890861</v>
      </c>
      <c r="J76" s="5" t="s">
        <v>64</v>
      </c>
      <c r="K76" s="5">
        <f>+K59-K75</f>
        <v>0.3999999999996362</v>
      </c>
    </row>
    <row r="77" spans="1:11" x14ac:dyDescent="0.25">
      <c r="A77" s="5" t="s">
        <v>82</v>
      </c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25">
      <c r="A78" s="5"/>
      <c r="B78" s="5"/>
      <c r="C78" s="5"/>
      <c r="D78" s="5" t="s">
        <v>97</v>
      </c>
      <c r="E78" s="5"/>
      <c r="F78" s="5"/>
      <c r="G78" s="6" t="s">
        <v>98</v>
      </c>
      <c r="H78" s="6" t="s">
        <v>99</v>
      </c>
      <c r="I78" s="6" t="s">
        <v>100</v>
      </c>
      <c r="J78" s="6" t="s">
        <v>101</v>
      </c>
      <c r="K78" s="6" t="s">
        <v>102</v>
      </c>
    </row>
    <row r="79" spans="1:11" x14ac:dyDescent="0.25">
      <c r="A79" s="5"/>
      <c r="B79" s="5"/>
      <c r="C79" s="5"/>
      <c r="D79" s="5" t="s">
        <v>87</v>
      </c>
      <c r="E79" s="5"/>
      <c r="F79" s="5"/>
      <c r="G79" s="5">
        <v>0</v>
      </c>
      <c r="H79" s="5">
        <v>0</v>
      </c>
      <c r="I79" s="5">
        <v>0</v>
      </c>
      <c r="J79" s="5">
        <v>0</v>
      </c>
      <c r="K79" s="5">
        <f>SUM(G79:J79)</f>
        <v>0</v>
      </c>
    </row>
    <row r="80" spans="1:11" x14ac:dyDescent="0.25">
      <c r="A80" s="5"/>
      <c r="B80" s="5"/>
      <c r="C80" s="5"/>
      <c r="D80" s="5" t="s">
        <v>88</v>
      </c>
      <c r="E80" s="5"/>
      <c r="F80" s="5"/>
      <c r="G80" s="5">
        <v>0</v>
      </c>
      <c r="H80" s="5">
        <v>0</v>
      </c>
      <c r="I80" s="5">
        <v>0</v>
      </c>
      <c r="J80" s="5">
        <v>0</v>
      </c>
      <c r="K80" s="5">
        <f t="shared" ref="K80:K86" si="4">SUM(G80:J80)</f>
        <v>0</v>
      </c>
    </row>
    <row r="81" spans="1:11" x14ac:dyDescent="0.25">
      <c r="A81" s="5"/>
      <c r="B81" s="5"/>
      <c r="C81" s="5"/>
      <c r="D81" s="5" t="s">
        <v>89</v>
      </c>
      <c r="E81" s="5"/>
      <c r="F81" s="5"/>
      <c r="G81" s="5">
        <v>0</v>
      </c>
      <c r="H81" s="5">
        <v>0</v>
      </c>
      <c r="I81" s="5">
        <v>245</v>
      </c>
      <c r="J81" s="5">
        <v>0</v>
      </c>
      <c r="K81" s="5">
        <f t="shared" si="4"/>
        <v>245</v>
      </c>
    </row>
    <row r="82" spans="1:11" x14ac:dyDescent="0.25">
      <c r="A82" s="5"/>
      <c r="B82" s="5"/>
      <c r="C82" s="5"/>
      <c r="D82" s="5" t="s">
        <v>90</v>
      </c>
      <c r="E82" s="5"/>
      <c r="F82" s="5"/>
      <c r="G82" s="5">
        <v>0</v>
      </c>
      <c r="H82" s="5">
        <v>0</v>
      </c>
      <c r="I82" s="5">
        <v>0</v>
      </c>
      <c r="J82" s="5">
        <v>0</v>
      </c>
      <c r="K82" s="5">
        <f t="shared" si="4"/>
        <v>0</v>
      </c>
    </row>
    <row r="83" spans="1:11" x14ac:dyDescent="0.25">
      <c r="A83" s="5"/>
      <c r="B83" s="5"/>
      <c r="C83" s="5"/>
      <c r="D83" s="5" t="s">
        <v>91</v>
      </c>
      <c r="E83" s="5"/>
      <c r="F83" s="5"/>
      <c r="G83" s="5">
        <v>1408</v>
      </c>
      <c r="H83" s="5">
        <v>0</v>
      </c>
      <c r="I83" s="5">
        <v>0</v>
      </c>
      <c r="J83" s="5">
        <v>0</v>
      </c>
      <c r="K83" s="5">
        <f t="shared" si="4"/>
        <v>1408</v>
      </c>
    </row>
    <row r="84" spans="1:11" x14ac:dyDescent="0.25">
      <c r="A84" s="5"/>
      <c r="B84" s="5"/>
      <c r="C84" s="5"/>
      <c r="D84" s="5" t="s">
        <v>92</v>
      </c>
      <c r="E84" s="5"/>
      <c r="F84" s="5"/>
      <c r="G84" s="5">
        <v>5712</v>
      </c>
      <c r="H84" s="5">
        <v>0</v>
      </c>
      <c r="I84" s="5">
        <v>0</v>
      </c>
      <c r="J84" s="5">
        <v>0</v>
      </c>
      <c r="K84" s="5">
        <f t="shared" si="4"/>
        <v>5712</v>
      </c>
    </row>
    <row r="85" spans="1:11" x14ac:dyDescent="0.25">
      <c r="A85" s="5"/>
      <c r="B85" s="5"/>
      <c r="C85" s="5"/>
      <c r="D85" s="5" t="s">
        <v>93</v>
      </c>
      <c r="E85" s="5"/>
      <c r="F85" s="5"/>
      <c r="G85" s="5">
        <v>0</v>
      </c>
      <c r="H85" s="5">
        <v>0</v>
      </c>
      <c r="I85" s="5">
        <v>0</v>
      </c>
      <c r="J85" s="5">
        <v>3802</v>
      </c>
      <c r="K85" s="5">
        <f t="shared" si="4"/>
        <v>3802</v>
      </c>
    </row>
    <row r="86" spans="1:11" x14ac:dyDescent="0.25">
      <c r="A86" s="5"/>
      <c r="B86" s="5"/>
      <c r="C86" s="5"/>
      <c r="D86" s="5" t="s">
        <v>94</v>
      </c>
      <c r="E86" s="5"/>
      <c r="F86" s="5"/>
      <c r="G86" s="5">
        <v>0</v>
      </c>
      <c r="H86" s="5">
        <v>1500</v>
      </c>
      <c r="I86" s="5">
        <v>0</v>
      </c>
      <c r="J86" s="5">
        <v>0</v>
      </c>
      <c r="K86" s="5">
        <f t="shared" si="4"/>
        <v>1500</v>
      </c>
    </row>
    <row r="87" spans="1:11" x14ac:dyDescent="0.25">
      <c r="A87" s="5"/>
      <c r="B87" s="5"/>
      <c r="C87" s="5"/>
      <c r="D87" s="5" t="s">
        <v>103</v>
      </c>
      <c r="E87" s="5"/>
      <c r="F87" s="5"/>
      <c r="G87" s="5">
        <f>SUM(G79:G86)</f>
        <v>7120</v>
      </c>
      <c r="H87" s="5">
        <f>SUM(H79:H86)</f>
        <v>1500</v>
      </c>
      <c r="I87" s="5">
        <f>SUM(I79:I86)</f>
        <v>245</v>
      </c>
      <c r="J87" s="5">
        <f>SUM(J79:J86)</f>
        <v>3802</v>
      </c>
      <c r="K87" s="5">
        <f>SUM(K79:K86)</f>
        <v>12667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FNB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Emshoff</dc:creator>
  <cp:lastModifiedBy>Alan Emshoff</cp:lastModifiedBy>
  <dcterms:created xsi:type="dcterms:W3CDTF">2014-02-11T16:14:22Z</dcterms:created>
  <dcterms:modified xsi:type="dcterms:W3CDTF">2014-02-11T16:17:10Z</dcterms:modified>
</cp:coreProperties>
</file>